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37ba1c167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负责人汇总" sheetId="1" r:id="R885f6e4a79f64da9"/>
    <x:sheet xmlns:r="http://schemas.openxmlformats.org/officeDocument/2006/relationships" name="北森匹配结果" sheetId="2" r:id="Rf4988ed1c9a640e2"/>
    <x:sheet xmlns:r="http://schemas.openxmlformats.org/officeDocument/2006/relationships" name="待决策冲突" sheetId="3" r:id="Re55527dee088442c"/>
    <x:sheet xmlns:r="http://schemas.openxmlformats.org/officeDocument/2006/relationships" name="匹配规则说明" sheetId="4" r:id="R7c7092f656dd4418"/>
    <x:sheet xmlns:r="http://schemas.openxmlformats.org/officeDocument/2006/relationships" name="JD决策与合并" sheetId="5" r:id="Ra7791c258f3c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3">
    <x:font>
      <x:sz val="11"/>
      <x:name val="Carlito"/>
    </x:font>
    <x:font>
      <x:b/>
      <x:sz val="18"/>
      <x:color rgb="FFFFFFFF"/>
      <x:name val="Microsoft YaHei"/>
    </x:font>
    <x:font>
      <x:sz val="9"/>
      <x:color rgb="FF667085"/>
      <x:name val="Microsoft YaHei"/>
    </x:font>
    <x:font>
      <x:b/>
      <x:sz val="11"/>
      <x:color rgb="FFFFFFFF"/>
      <x:name val="Microsoft YaHei"/>
    </x:font>
    <x:font>
      <x:b/>
      <x:sz val="14"/>
      <x:color rgb="FF17324D"/>
      <x:name val="Microsoft YaHei"/>
    </x:font>
    <x:font>
      <x:sz val="10"/>
      <x:color rgb="FF172033"/>
      <x:name val="Microsoft YaHei"/>
    </x:font>
    <x:font>
      <x:b/>
      <x:sz val="13"/>
      <x:color rgb="FF17324D"/>
      <x:name val="Microsoft YaHei"/>
    </x:font>
    <x:font>
      <x:b/>
      <x:sz val="10"/>
      <x:color rgb="FF17324D"/>
      <x:name val="Microsoft YaHei"/>
    </x:font>
    <x:font>
      <x:sz val="9"/>
      <x:color rgb="FF172033"/>
      <x:name val="Microsoft YaHei"/>
    </x:font>
    <x:font>
      <x:sz val="8"/>
      <x:color rgb="FF172033"/>
      <x:name val="Microsoft YaHei"/>
    </x:font>
    <x:font>
      <x:b/>
      <x:sz val="10"/>
      <x:color rgb="FF15803D"/>
      <x:name val="Microsoft YaHei"/>
    </x:font>
    <x:font>
      <x:b/>
      <x:sz val="13"/>
      <x:color rgb="FFFFFFFF"/>
      <x:name val="Microsoft YaHei"/>
    </x:font>
    <x:font>
      <x:b/>
      <x:sz val="11"/>
      <x:color rgb="FF17324D"/>
      <x:name val="Microsoft YaHei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8FB"/>
      </x:patternFill>
    </x:fill>
    <x:fill>
      <x:patternFill patternType="solid">
        <x:fgColor rgb="FF0E7490"/>
      </x:patternFill>
    </x:fill>
    <x:fill>
      <x:patternFill patternType="solid">
        <x:fgColor rgb="FFE8F1F8"/>
      </x:patternFill>
    </x:fill>
    <x:fill>
      <x:patternFill patternType="solid">
        <x:fgColor rgb="FF17324D"/>
      </x:patternFill>
    </x:fill>
    <x:fill>
      <x:patternFill patternType="solid">
        <x:fgColor rgb="FFF2F4F7"/>
      </x:patternFill>
    </x:fill>
    <x:fill>
      <x:patternFill patternType="solid">
        <x:fgColor rgb="FF0E7490"/>
      </x:patternFill>
    </x:fill>
    <x:fill>
      <x:patternFill patternType="solid">
        <x:fgColor rgb="FFDCFCE7"/>
      </x:patternFill>
    </x:fill>
    <x:fill>
      <x:patternFill patternType="solid">
        <x:fgColor rgb="FFE8F1F8"/>
      </x:patternFill>
    </x:fill>
    <x:fill>
      <x:patternFill patternType="solid">
        <x:fgColor rgb="FF17324D"/>
      </x:patternFill>
    </x:fill>
    <x:fill>
      <x:patternFill patternType="solid">
        <x:fgColor rgb="FFF2F4F7"/>
      </x:patternFill>
    </x:fill>
    <x:fill>
      <x:patternFill patternType="solid">
        <x:fgColor rgb="FF0E7490"/>
      </x:patternFill>
    </x:fill>
    <x:fill>
      <x:patternFill patternType="solid">
        <x:fgColor rgb="FFDCFCE7"/>
      </x:patternFill>
    </x:fill>
    <x:fill>
      <x:patternFill patternType="solid">
        <x:fgColor rgb="FFE8F1F8"/>
      </x:patternFill>
    </x:fill>
  </x:fills>
  <x:borders count="6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D0D5DD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3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5" fillId="0" borderId="3" xfId="0" applyNumberFormat="1" applyFont="1" applyFill="1" applyBorder="1" applyAlignment="1">
      <x:alignment horizontal="left" vertical="center" wrapText="1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6" fillId="5" borderId="3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horizontal="center" vertical="center" wrapText="1"/>
    </x:xf>
    <x:xf numFmtId="200" fontId="5" fillId="0" borderId="3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left"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5" fillId="9" borderId="3" xfId="0" applyNumberFormat="1" applyFont="1" applyFill="1" applyBorder="1" applyAlignment="1">
      <x:alignment vertical="center" wrapText="1"/>
    </x:xf>
    <x:xf numFmtId="0" fontId="10" fillId="9" borderId="5" xfId="0" applyNumberFormat="1" applyFont="1" applyFill="1" applyBorder="1" applyAlignment="1">
      <x:alignment vertical="center" wrapText="1"/>
    </x:xf>
    <x:xf numFmtId="0" fontId="10" fillId="9" borderId="3" xfId="0" applyNumberFormat="1" applyFont="1" applyFill="1" applyBorder="1" applyAlignment="1">
      <x:alignment vertical="center" wrapText="1"/>
    </x:xf>
    <x:xf numFmtId="0" fontId="10" fillId="9" borderId="5" xfId="0" applyNumberFormat="1" applyFont="1" applyFill="1" applyBorder="1" applyAlignment="1">
      <x:alignment horizontal="center" vertical="center" wrapText="1"/>
    </x:xf>
    <x:xf numFmtId="0" fontId="10" fillId="9" borderId="3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1" xfId="0" applyNumberFormat="1" applyFont="1" applyFill="1" applyBorder="1"/>
    <x:xf numFmtId="0" fontId="12" fillId="10" borderId="1" xfId="0" applyNumberFormat="1" applyFont="1" applyFill="1" applyBorder="1" applyAlignment="1">
      <x:alignment wrapText="1"/>
    </x:xf>
    <x:xf numFmtId="0" fontId="12" fillId="10" borderId="1" xfId="0" applyNumberFormat="1" applyFont="1" applyFill="1" applyBorder="1" applyAlignment="1">
      <x:alignment horizontal="center" wrapText="1"/>
    </x:xf>
    <x:xf numFmtId="0" fontId="12" fillId="10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1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horizont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5" fillId="14" borderId="5" xfId="0" applyNumberFormat="1" applyFont="1" applyFill="1" applyBorder="1" applyAlignment="1">
      <x:alignment vertical="center" wrapText="1"/>
    </x:xf>
    <x:xf numFmtId="0" fontId="5" fillId="14" borderId="3" xfId="0" applyNumberFormat="1" applyFont="1" applyFill="1" applyBorder="1" applyAlignment="1">
      <x:alignment vertical="center" wrapText="1"/>
    </x:xf>
    <x:xf numFmtId="0" fontId="10" fillId="14" borderId="5" xfId="0" applyNumberFormat="1" applyFont="1" applyFill="1" applyBorder="1" applyAlignment="1">
      <x:alignment vertical="center" wrapText="1"/>
    </x:xf>
    <x:xf numFmtId="0" fontId="10" fillId="14" borderId="3" xfId="0" applyNumberFormat="1" applyFont="1" applyFill="1" applyBorder="1" applyAlignment="1">
      <x:alignment vertical="center" wrapText="1"/>
    </x:xf>
    <x:xf numFmtId="0" fontId="10" fillId="14" borderId="5" xfId="0" applyNumberFormat="1" applyFont="1" applyFill="1" applyBorder="1" applyAlignment="1">
      <x:alignment horizontal="center" vertical="center" wrapText="1"/>
    </x:xf>
    <x:xf numFmtId="0" fontId="10" fillId="14" borderId="3" xfId="0" applyNumberFormat="1" applyFont="1" applyFill="1" applyBorder="1" applyAlignment="1">
      <x:alignment horizontal="center" vertical="center" wrapText="1"/>
    </x:xf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1" xfId="0" applyNumberFormat="1" applyFont="1" applyFill="1" applyBorder="1"/>
    <x:xf numFmtId="0" fontId="12" fillId="15" borderId="1" xfId="0" applyNumberFormat="1" applyFont="1" applyFill="1" applyBorder="1" applyAlignment="1">
      <x:alignment wrapText="1"/>
    </x:xf>
    <x:xf numFmtId="0" fontId="12" fillId="15" borderId="1" xfId="0" applyNumberFormat="1" applyFont="1" applyFill="1" applyBorder="1" applyAlignment="1">
      <x:alignment horizontal="center" wrapText="1"/>
    </x:xf>
    <x:xf numFmtId="0" fontId="12" fillId="1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7">
    <x:dxf>
      <x:font>
        <x:color rgb="FFB45309"/>
      </x:font>
      <x:fill>
        <x:patternFill>
          <x:bgColor rgb="FFFEF3C7"/>
        </x:patternFill>
      </x:fill>
    </x:dxf>
    <x:dxf>
      <x:font>
        <x:i/>
        <x:color rgb="FF667085"/>
      </x:font>
      <x:fill>
        <x:patternFill>
          <x:bgColor rgb="FFF2F4F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b8be97e7a4a89" /><Relationship Type="http://schemas.openxmlformats.org/officeDocument/2006/relationships/theme" Target="/xl/theme/theme1.xml" Id="R2f904681dca44062" /><Relationship Type="http://schemas.openxmlformats.org/officeDocument/2006/relationships/sharedStrings" Target="/xl/sharedStrings.xml" Id="R5f1b3e382aca475c" /><Relationship Type="http://schemas.openxmlformats.org/officeDocument/2006/relationships/worksheet" Target="/xl/worksheets/sheet1.xml" Id="R885f6e4a79f64da9" /><Relationship Type="http://schemas.openxmlformats.org/officeDocument/2006/relationships/worksheet" Target="/xl/worksheets/sheet2.xml" Id="Rf4988ed1c9a640e2" /><Relationship Type="http://schemas.openxmlformats.org/officeDocument/2006/relationships/worksheet" Target="/xl/worksheets/sheet3.xml" Id="Re55527dee088442c" /><Relationship Type="http://schemas.openxmlformats.org/officeDocument/2006/relationships/worksheet" Target="/xl/worksheets/sheet4.xml" Id="R7c7092f656dd4418" /><Relationship Type="http://schemas.openxmlformats.org/officeDocument/2006/relationships/worksheet" Target="/xl/worksheets/sheet5.xml" Id="Ra7791c258f3c4139" /></Relationships>
</file>

<file path=xl/tables/table1.xml><?xml version="1.0" encoding="utf-8"?>
<x:table xmlns:x="http://schemas.openxmlformats.org/spreadsheetml/2006/main" id="1" name="OwnerSummaryTable" displayName="OwnerSummaryTable" ref="A7:C39" headerRowCount="1" totalsRowCount="0" totalsRowShown="0">
  <x:tableColumns count="3">
    <x:tableColumn id="1" name="负责人"/>
    <x:tableColumn id="2" name="岗位"/>
    <x:tableColumn id="3" name="负责人邮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isenMatchTable" displayName="BeisenMatchTable" ref="A7:O17" headerRowCount="1" totalsRowCount="0" totalsRowShown="0">
  <x:tableColumns count="15">
    <x:tableColumn id="1" name="北森岗位"/>
    <x:tableColumn id="2" name="北森状态"/>
    <x:tableColumn id="3" name="北森岗位ID"/>
    <x:tableColumn id="4" name="建议汇总岗位"/>
    <x:tableColumn id="5" name="匹配方式"/>
    <x:tableColumn id="6" name="标题分"/>
    <x:tableColumn id="7" name="JD分"/>
    <x:tableColumn id="8" name="汇总负责人"/>
    <x:tableColumn id="9" name="汇总负责人邮箱"/>
    <x:tableColumn id="10" name="北森HR负责人"/>
    <x:tableColumn id="11" name="北森HR邮箱"/>
    <x:tableColumn id="12" name="冲突类型"/>
    <x:tableColumn id="13" name="建议处理"/>
    <x:tableColumn id="14" name="人工决策"/>
    <x:tableColumn id="15" name="决策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lictDecisionTable" displayName="ConflictDecisionTable" ref="A4:I14" headerRowCount="1" totalsRowCount="0" totalsRowShown="0">
  <x:tableColumns count="9">
    <x:tableColumn id="1" name="优先级"/>
    <x:tableColumn id="2" name="北森岗位"/>
    <x:tableColumn id="3" name="汇总岗位"/>
    <x:tableColumn id="4" name="冲突类型"/>
    <x:tableColumn id="5" name="负责人对比"/>
    <x:tableColumn id="6" name="建议处理"/>
    <x:tableColumn id="7" name="人工决策"/>
    <x:tableColumn id="8" name="决策备注"/>
    <x:tableColumn id="9" name="北森岗位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chingRulesTable" displayName="MatchingRulesTable" ref="A4:B15" headerRowCount="1" totalsRowCount="0" totalsRowShown="0">
  <x:tableColumns count="2">
    <x:tableColumn id="1" name="主题"/>
    <x:tableColumn id="2" name="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c97f1b285040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963a984d0f44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512cf284f243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eff7529ccd4b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  <x:col min="3" max="3" width="56" hidden="0" customWidth="1"/>
  </x:cols>
  <x:sheetData>
    <x:row r="1" ht="34" customHeight="1">
      <x:c r="A1" s="4" t="str">
        <x:v>招聘岗位负责人汇总</x:v>
      </x:c>
      <x:c r="B1" s="4" t="str">
        <x:v>招聘岗位负责人汇总</x:v>
      </x:c>
      <x:c r="C1" s="4" t="str">
        <x:v>招聘岗位负责人汇总</x:v>
      </x:c>
    </x:row>
    <x:row r="2" ht="38" customHeight="1">
      <x:c r="A2" s="8" t="str">
        <x:v>来源：docs/招聘信息汇总.docx。负责人邮箱按照“姓名拼音@nuptio.net”规则生成；多人负责人邮箱按姓名顺序以分号分隔。</x:v>
      </x:c>
      <x:c r="B2" s="8" t="str">
        <x:v>来源：docs/招聘信息汇总.docx。负责人邮箱按照“姓名拼音@nuptio.net”规则生成；多人负责人邮箱按姓名顺序以分号分隔。</x:v>
      </x:c>
      <x:c r="C2" s="8" t="str">
        <x:v>来源：docs/招聘信息汇总.docx。负责人邮箱按照“姓名拼音@nuptio.net”规则生成；多人负责人邮箱按姓名顺序以分号分隔。</x:v>
      </x:c>
    </x:row>
    <x:row r="4" ht="28" customHeight="1">
      <x:c r="A4" s="14" t="str">
        <x:v>岗位总数</x:v>
      </x:c>
      <x:c r="B4" s="14" t="str">
        <x:v>已确认邮箱岗位数</x:v>
      </x:c>
      <x:c r="C4" s="14" t="str">
        <x:v>待补充邮箱岗位数</x:v>
      </x:c>
    </x:row>
    <x:row r="5" ht="30" customHeight="1">
      <x:c r="A5" s="23" t="n">
        <x:f>COUNTA(B8:B39)</x:f>
        <x:v>32</x:v>
      </x:c>
      <x:c r="B5" s="24" t="n">
        <x:f>COUNTIF(C8:C39,"&lt;&gt;待补充")-COUNTIF(C8:C39,"待确认负责人后补充")</x:f>
        <x:v>30</x:v>
      </x:c>
      <x:c r="C5" s="25" t="n">
        <x:f>A5-B5</x:f>
        <x:v>2</x:v>
      </x:c>
    </x:row>
    <x:row r="7" ht="28" customHeight="1">
      <x:c r="A7" s="14" t="str">
        <x:v>负责人</x:v>
      </x:c>
      <x:c r="B7" s="14" t="str">
        <x:v>岗位</x:v>
      </x:c>
      <x:c r="C7" s="14" t="str">
        <x:v>负责人邮箱</x:v>
      </x:c>
    </x:row>
    <x:row r="8" ht="170" customHeight="1">
      <x:c r="A8" s="33" t="str">
        <x:v>黄国云、张玲、张倩、黄发添、林春金、张丽丽、雷妹英、李晴晴、陈韵以、杨敏、陈丽颖、吴俊勇、陈敏云、游梦兰、魏秋云、刘鑫</x:v>
      </x:c>
      <x:c r="B8" s="33" t="str">
        <x:v>亚马逊Amazon运营（初级）</x:v>
      </x:c>
      <x:c r="C8" s="55" t="str">
        <x:v>huangguoyun@nuptio.net；zhangling@nuptio.net；zhangqian@nuptio.net；huangfatian@nuptio.net；linchunjin@nuptio.net；zhanglili@nuptio.net；leimeiying@nuptio.net；liqingqing@nuptio.net；chenyunyi@nuptio.net；yangmin@nuptio.net；chenliying@nuptio.net；wujunyong@nuptio.net；chenminyun@nuptio.net；youmenglan@nuptio.net；weiqiuyun@nuptio.net；liuxin@nuptio.net</x:v>
      </x:c>
    </x:row>
    <x:row r="9" ht="170" customHeight="1">
      <x:c r="A9" s="34" t="str">
        <x:v>黄国云、张玲、张倩、黄发添、林春金、张丽丽、雷妹英、李晴晴、陈韵以、杨敏、陈丽颖、吴俊勇、陈敏云、游梦兰、魏秋云、刘鑫</x:v>
      </x:c>
      <x:c r="B9" s="34" t="str">
        <x:v>亚马逊Amazon运营（中级）</x:v>
      </x:c>
      <x:c r="C9" s="56" t="str">
        <x:v>huangguoyun@nuptio.net；zhangling@nuptio.net；zhangqian@nuptio.net；huangfatian@nuptio.net；linchunjin@nuptio.net；zhanglili@nuptio.net；leimeiying@nuptio.net；liqingqing@nuptio.net；chenyunyi@nuptio.net；yangmin@nuptio.net；chenliying@nuptio.net；wujunyong@nuptio.net；chenminyun@nuptio.net；youmenglan@nuptio.net；weiqiuyun@nuptio.net；liuxin@nuptio.net</x:v>
      </x:c>
    </x:row>
    <x:row r="10" ht="170" customHeight="1">
      <x:c r="A10" s="34" t="str">
        <x:v>黄国云、张玲、张倩、黄发添、林春金、张丽丽、雷妹英、李晴晴、陈韵以、杨敏、陈丽颖、吴俊勇、陈敏云、游梦兰、魏秋云、刘鑫</x:v>
      </x:c>
      <x:c r="B10" s="34" t="str">
        <x:v>亚马逊Amazon运营（高级）</x:v>
      </x:c>
      <x:c r="C10" s="56" t="str">
        <x:v>huangguoyun@nuptio.net；zhangling@nuptio.net；zhangqian@nuptio.net；huangfatian@nuptio.net；linchunjin@nuptio.net；zhanglili@nuptio.net；leimeiying@nuptio.net；liqingqing@nuptio.net；chenyunyi@nuptio.net；yangmin@nuptio.net；chenliying@nuptio.net；wujunyong@nuptio.net；chenminyun@nuptio.net；youmenglan@nuptio.net；weiqiuyun@nuptio.net；liuxin@nuptio.net</x:v>
      </x:c>
    </x:row>
    <x:row r="11" ht="170" customHeight="1">
      <x:c r="A11" s="34" t="str">
        <x:v>黄国云、张玲、张倩、黄发添、林春金、张丽丽、雷妹英、李晴晴、陈韵以、杨敏、陈丽颖、吴俊勇、陈敏云、游梦兰、魏秋云、刘鑫</x:v>
      </x:c>
      <x:c r="B11" s="34" t="str">
        <x:v>亚马逊Amazon运营助理</x:v>
      </x:c>
      <x:c r="C11" s="56" t="str">
        <x:v>huangguoyun@nuptio.net；zhangling@nuptio.net；zhangqian@nuptio.net；huangfatian@nuptio.net；linchunjin@nuptio.net；zhanglili@nuptio.net；leimeiying@nuptio.net；liqingqing@nuptio.net；chenyunyi@nuptio.net；yangmin@nuptio.net；chenliying@nuptio.net；wujunyong@nuptio.net；chenminyun@nuptio.net；youmenglan@nuptio.net；weiqiuyun@nuptio.net；liuxin@nuptio.net</x:v>
      </x:c>
    </x:row>
    <x:row r="12" ht="170" customHeight="1">
      <x:c r="A12" s="34" t="str">
        <x:v>黄国云、张玲、张倩、黄发添、林春金、张丽丽、雷妹英、李晴晴、陈韵以、杨敏、陈丽颖、吴俊勇、陈敏云、游梦兰、魏秋云、刘鑫</x:v>
      </x:c>
      <x:c r="B12" s="34" t="str">
        <x:v>跨境电商运营（应届生可投）</x:v>
      </x:c>
      <x:c r="C12" s="56" t="str">
        <x:v>huangguoyun@nuptio.net；zhangling@nuptio.net；zhangqian@nuptio.net；huangfatian@nuptio.net；linchunjin@nuptio.net；zhanglili@nuptio.net；leimeiying@nuptio.net；liqingqing@nuptio.net；chenyunyi@nuptio.net；yangmin@nuptio.net；chenliying@nuptio.net；wujunyong@nuptio.net；chenminyun@nuptio.net；youmenglan@nuptio.net；weiqiuyun@nuptio.net；liuxin@nuptio.net</x:v>
      </x:c>
    </x:row>
    <x:row r="13" ht="36" customHeight="1">
      <x:c r="A13" s="34" t="str">
        <x:v>刘鑫</x:v>
      </x:c>
      <x:c r="B13" s="34" t="str">
        <x:v>沃尔玛Walmart运营</x:v>
      </x:c>
      <x:c r="C13" s="56" t="str">
        <x:v>liuxin@nuptio.net</x:v>
      </x:c>
    </x:row>
    <x:row r="14" ht="36" customHeight="1">
      <x:c r="A14" s="34" t="str">
        <x:v>刘鑫</x:v>
      </x:c>
      <x:c r="B14" s="34" t="str">
        <x:v>Temu运营</x:v>
      </x:c>
      <x:c r="C14" s="56" t="str">
        <x:v>liuxin@nuptio.net</x:v>
      </x:c>
    </x:row>
    <x:row r="15" ht="36" customHeight="1">
      <x:c r="A15" s="34" t="str">
        <x:v>邵红霖</x:v>
      </x:c>
      <x:c r="B15" s="34" t="str">
        <x:v>产品经理（出海赛道/双休）/产品开发经理（出海赛道/双休）</x:v>
      </x:c>
      <x:c r="C15" s="56" t="str">
        <x:v>shaohonglin@nuptio.net</x:v>
      </x:c>
    </x:row>
    <x:row r="16" ht="36" customHeight="1">
      <x:c r="A16" s="34" t="str">
        <x:v>李艳霞、邵红霖</x:v>
      </x:c>
      <x:c r="B16" s="34" t="str">
        <x:v>产品设计师</x:v>
      </x:c>
      <x:c r="C16" s="56" t="str">
        <x:v>liyanxia@nuptio.net；shaohonglin@nuptio.net</x:v>
      </x:c>
    </x:row>
    <x:row r="17" ht="36" customHeight="1">
      <x:c r="A17" s="34" t="str">
        <x:v>詹凤娇、邵红霖</x:v>
      </x:c>
      <x:c r="B17" s="34" t="str">
        <x:v>英文客服(跨境电商)/客服专员（英语方向）</x:v>
      </x:c>
      <x:c r="C17" s="56" t="str">
        <x:v>zhanfengjiao@nuptio.net；shaohonglin@nuptio.net</x:v>
      </x:c>
    </x:row>
    <x:row r="18" ht="36" customHeight="1">
      <x:c r="A18" s="34" t="str">
        <x:v>待确认</x:v>
      </x:c>
      <x:c r="B18" s="34" t="str">
        <x:v>知识产权专员/工程师（暂停招聘）</x:v>
      </x:c>
      <x:c r="C18" s="56" t="str">
        <x:v>待确认负责人后补充</x:v>
      </x:c>
    </x:row>
    <x:row r="19" ht="36" customHeight="1">
      <x:c r="A19" s="34" t="str">
        <x:v>苏碧龙</x:v>
      </x:c>
      <x:c r="B19" s="34" t="str">
        <x:v>海外社交媒体运营/新媒体运营（面向海外）/海外社媒运营/社交媒体推广专员</x:v>
      </x:c>
      <x:c r="C19" s="56" t="str">
        <x:v>subilong@nuptio.net</x:v>
      </x:c>
    </x:row>
    <x:row r="20" ht="36" customHeight="1">
      <x:c r="A20" s="34" t="str">
        <x:v>待确认</x:v>
      </x:c>
      <x:c r="B20" s="34" t="str">
        <x:v>海外KOL运营/海外红人推广（暂停招聘）</x:v>
      </x:c>
      <x:c r="C20" s="56" t="str">
        <x:v>待确认负责人后补充</x:v>
      </x:c>
    </x:row>
    <x:row r="21" ht="36" customHeight="1">
      <x:c r="A21" s="34" t="str">
        <x:v>吴晨静、苏碧龙</x:v>
      </x:c>
      <x:c r="B21" s="34" t="str">
        <x:v>TK运营/Tiktok运营</x:v>
      </x:c>
      <x:c r="C21" s="56" t="str">
        <x:v>wuchenjing@nuptio.net；subilong@nuptio.net</x:v>
      </x:c>
    </x:row>
    <x:row r="22" ht="36" customHeight="1">
      <x:c r="A22" s="34" t="str">
        <x:v>吴晨静、苏碧龙</x:v>
      </x:c>
      <x:c r="B22" s="34" t="str">
        <x:v>TK店铺运营助理</x:v>
      </x:c>
      <x:c r="C22" s="56" t="str">
        <x:v>wuchenjing@nuptio.net；subilong@nuptio.net</x:v>
      </x:c>
    </x:row>
    <x:row r="23" ht="36" customHeight="1">
      <x:c r="A23" s="34" t="str">
        <x:v>蔡圆圆、苏碧龙</x:v>
      </x:c>
      <x:c r="B23" s="34" t="str">
        <x:v>平面设计师/电商美工</x:v>
      </x:c>
      <x:c r="C23" s="56" t="str">
        <x:v>caiyuanyuan@nuptio.net；subilong@nuptio.net</x:v>
      </x:c>
    </x:row>
    <x:row r="24" ht="36" customHeight="1">
      <x:c r="A24" s="34" t="str">
        <x:v>蔡圆圆、苏碧龙</x:v>
      </x:c>
      <x:c r="B24" s="34" t="str">
        <x:v>电商摄影师/产品摄影师</x:v>
      </x:c>
      <x:c r="C24" s="56" t="str">
        <x:v>caiyuanyuan@nuptio.net；subilong@nuptio.net</x:v>
      </x:c>
    </x:row>
    <x:row r="25" ht="36" customHeight="1">
      <x:c r="A25" s="34" t="str">
        <x:v>苏碧龙</x:v>
      </x:c>
      <x:c r="B25" s="34" t="str">
        <x:v>视频拍摄剪辑师</x:v>
      </x:c>
      <x:c r="C25" s="56" t="str">
        <x:v>subilong@nuptio.net</x:v>
      </x:c>
    </x:row>
    <x:row r="26" ht="36" customHeight="1">
      <x:c r="A26" s="34" t="str">
        <x:v>朱琳珊、黄丽清</x:v>
      </x:c>
      <x:c r="B26" s="34" t="str">
        <x:v>采购开发工程师</x:v>
      </x:c>
      <x:c r="C26" s="56" t="str">
        <x:v>zhulinshan@nuptio.net；huangliqing@nuptio.net</x:v>
      </x:c>
    </x:row>
    <x:row r="27" ht="36" customHeight="1">
      <x:c r="A27" s="34" t="str">
        <x:v>龚红琼、黄丽清</x:v>
      </x:c>
      <x:c r="B27" s="34" t="str">
        <x:v>采购专员</x:v>
      </x:c>
      <x:c r="C27" s="56" t="str">
        <x:v>gonghongqiong@nuptio.net；huangliqing@nuptio.net</x:v>
      </x:c>
    </x:row>
    <x:row r="28" ht="36" customHeight="1">
      <x:c r="A28" s="34" t="str">
        <x:v>黄丽清</x:v>
      </x:c>
      <x:c r="B28" s="34" t="str">
        <x:v>质检专员</x:v>
      </x:c>
      <x:c r="C28" s="56" t="str">
        <x:v>huangliqing@nuptio.net</x:v>
      </x:c>
    </x:row>
    <x:row r="29" ht="36" customHeight="1">
      <x:c r="A29" s="34" t="str">
        <x:v>寿咪霞</x:v>
      </x:c>
      <x:c r="B29" s="34" t="str">
        <x:v>跟单员/仓库文员</x:v>
      </x:c>
      <x:c r="C29" s="56" t="str">
        <x:v>shoumixia@nuptio.net</x:v>
      </x:c>
    </x:row>
    <x:row r="30" ht="36" customHeight="1">
      <x:c r="A30" s="34" t="str">
        <x:v>寿咪霞</x:v>
      </x:c>
      <x:c r="B30" s="34" t="str">
        <x:v>入库员</x:v>
      </x:c>
      <x:c r="C30" s="56" t="str">
        <x:v>shoumixia@nuptio.net</x:v>
      </x:c>
    </x:row>
    <x:row r="31" ht="36" customHeight="1">
      <x:c r="A31" s="34" t="str">
        <x:v>寿咪霞</x:v>
      </x:c>
      <x:c r="B31" s="34" t="str">
        <x:v>出库员</x:v>
      </x:c>
      <x:c r="C31" s="56" t="str">
        <x:v>shoumixia@nuptio.net</x:v>
      </x:c>
    </x:row>
    <x:row r="32" ht="36" customHeight="1">
      <x:c r="A32" s="34" t="str">
        <x:v>陈建雄</x:v>
      </x:c>
      <x:c r="B32" s="34" t="str">
        <x:v>初级软件工程师</x:v>
      </x:c>
      <x:c r="C32" s="56" t="str">
        <x:v>chenjianxiong@nuptio.net</x:v>
      </x:c>
    </x:row>
    <x:row r="33" ht="36" customHeight="1">
      <x:c r="A33" s="34" t="str">
        <x:v>陈建雄</x:v>
      </x:c>
      <x:c r="B33" s="34" t="str">
        <x:v>高级软件开发工程师</x:v>
      </x:c>
      <x:c r="C33" s="56" t="str">
        <x:v>chenjianxiong@nuptio.net</x:v>
      </x:c>
    </x:row>
    <x:row r="34" ht="36" customHeight="1">
      <x:c r="A34" s="34" t="str">
        <x:v>陈建雄</x:v>
      </x:c>
      <x:c r="B34" s="34" t="str">
        <x:v>AI工程师</x:v>
      </x:c>
      <x:c r="C34" s="56" t="str">
        <x:v>chenjianxiong@nuptio.net</x:v>
      </x:c>
    </x:row>
    <x:row r="35" ht="36" customHeight="1">
      <x:c r="A35" s="34" t="str">
        <x:v>陈建雄</x:v>
      </x:c>
      <x:c r="B35" s="34" t="str">
        <x:v>AI应用工程师/AIGC应用研究员</x:v>
      </x:c>
      <x:c r="C35" s="56" t="str">
        <x:v>chenjianxiong@nuptio.net</x:v>
      </x:c>
    </x:row>
    <x:row r="36" ht="36" customHeight="1">
      <x:c r="A36" s="34" t="str">
        <x:v>张雪梅</x:v>
      </x:c>
      <x:c r="B36" s="34" t="str">
        <x:v>报关员/报检员</x:v>
      </x:c>
      <x:c r="C36" s="56" t="str">
        <x:v>zhangxuemei@nuptio.net</x:v>
      </x:c>
    </x:row>
    <x:row r="37" ht="36" customHeight="1">
      <x:c r="A37" s="34" t="str">
        <x:v>张雪梅</x:v>
      </x:c>
      <x:c r="B37" s="34" t="str">
        <x:v>财务助理</x:v>
      </x:c>
      <x:c r="C37" s="56" t="str">
        <x:v>zhangxuemei@nuptio.net</x:v>
      </x:c>
    </x:row>
    <x:row r="38" ht="36" customHeight="1">
      <x:c r="A38" s="34" t="str">
        <x:v>王璐</x:v>
      </x:c>
      <x:c r="B38" s="34" t="str">
        <x:v>物流专员</x:v>
      </x:c>
      <x:c r="C38" s="56" t="str">
        <x:v>wanglu@nuptio.net</x:v>
      </x:c>
    </x:row>
    <x:row r="39" ht="36" customHeight="1">
      <x:c r="A39" s="34" t="str">
        <x:v>陈晓彦</x:v>
      </x:c>
      <x:c r="B39" s="34" t="str">
        <x:v>人力资源专员</x:v>
      </x:c>
      <x:c r="C39" s="56" t="str">
        <x:v>chenxiaoyan@nuptio.net</x:v>
      </x:c>
    </x:row>
  </x:sheetData>
  <x:mergeCells>
    <x:mergeCell ref="A1:C1"/>
    <x:mergeCell ref="A2:C2"/>
  </x:mergeCells>
  <x:conditionalFormatting sqref="C8:C39">
    <x:cfRule type="containsText" dxfId="0" priority="1" operator="containsText" text="待补充"/>
  </x:conditionalFormatting>
  <x:conditionalFormatting sqref="B8:B39">
    <x:cfRule type="containsText" dxfId="1" priority="2" operator="containsText" text="暂停招聘"/>
  </x:conditionalFormatting>
  <x:pageMargins left="0.7" right="0.7" top="0.75" bottom="0.75" header="0.3" footer="0.3"/>
  <x:tableParts count="1">
    <x:tablePart xmlns:r="http://schemas.openxmlformats.org/officeDocument/2006/relationships" r:id="Rc9c97f1b285040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38" hidden="0" customWidth="1"/>
    <x:col min="4" max="4" width="48" hidden="0" customWidth="1"/>
    <x:col min="5" max="5" width="24" hidden="0" customWidth="1"/>
    <x:col min="6" max="6" width="10" hidden="0" customWidth="1"/>
    <x:col min="7" max="7" width="10" hidden="0" customWidth="1"/>
    <x:col min="8" max="8" width="40" hidden="0" customWidth="1"/>
    <x:col min="9" max="9" width="48" hidden="0" customWidth="1"/>
    <x:col min="10" max="10" width="16" hidden="0" customWidth="1"/>
    <x:col min="11" max="11" width="28" hidden="0" customWidth="1"/>
    <x:col min="12" max="12" width="42" hidden="0" customWidth="1"/>
    <x:col min="13" max="13" width="54" hidden="0" customWidth="1"/>
    <x:col min="14" max="14" width="18" hidden="0" customWidth="1"/>
    <x:col min="15" max="15" width="28" hidden="0" customWidth="1"/>
  </x:cols>
  <x:sheetData>
    <x:row r="1" ht="34" customHeight="1">
      <x:c r="A1" s="4" t="str">
        <x:v>北森岗位与招聘汇总匹配结果</x:v>
      </x:c>
      <x:c r="B1" s="4" t="str">
        <x:v>北森岗位与招聘汇总匹配结果</x:v>
      </x:c>
      <x:c r="C1" s="4" t="str">
        <x:v>北森岗位与招聘汇总匹配结果</x:v>
      </x:c>
      <x:c r="D1" s="4" t="str">
        <x:v>北森岗位与招聘汇总匹配结果</x:v>
      </x:c>
      <x:c r="E1" s="4" t="str">
        <x:v>北森岗位与招聘汇总匹配结果</x:v>
      </x:c>
      <x:c r="F1" s="4" t="str">
        <x:v>北森岗位与招聘汇总匹配结果</x:v>
      </x:c>
      <x:c r="G1" s="4" t="str">
        <x:v>北森岗位与招聘汇总匹配结果</x:v>
      </x:c>
      <x:c r="H1" s="4" t="str">
        <x:v>北森岗位与招聘汇总匹配结果</x:v>
      </x:c>
      <x:c r="I1" s="4" t="str">
        <x:v>北森岗位与招聘汇总匹配结果</x:v>
      </x:c>
      <x:c r="J1" s="4" t="str">
        <x:v>北森岗位与招聘汇总匹配结果</x:v>
      </x:c>
      <x:c r="K1" s="4" t="str">
        <x:v>北森岗位与招聘汇总匹配结果</x:v>
      </x:c>
      <x:c r="L1" s="4" t="str">
        <x:v>北森岗位与招聘汇总匹配结果</x:v>
      </x:c>
      <x:c r="M1" s="4" t="str">
        <x:v>北森岗位与招聘汇总匹配结果</x:v>
      </x:c>
      <x:c r="N1" s="4" t="str">
        <x:v>北森岗位与招聘汇总匹配结果</x:v>
      </x:c>
      <x:c r="O1" s="4" t="str">
        <x:v>北森岗位与招聘汇总匹配结果</x:v>
      </x:c>
    </x:row>
    <x:row r="2" ht="38" customHeight="1">
      <x:c r="A2" s="8" t="str">
        <x:v>标题分用于名称/别名相似度，JD分用于岗位职责与任职要求的文本相似度。自动结果仅用于建议；负责人、岗位一对多、JD差异均需人工确认。</x:v>
      </x:c>
      <x:c r="B2" s="8" t="str">
        <x:v>标题分用于名称/别名相似度，JD分用于岗位职责与任职要求的文本相似度。自动结果仅用于建议；负责人、岗位一对多、JD差异均需人工确认。</x:v>
      </x:c>
      <x:c r="C2" s="8" t="str">
        <x:v>标题分用于名称/别名相似度，JD分用于岗位职责与任职要求的文本相似度。自动结果仅用于建议；负责人、岗位一对多、JD差异均需人工确认。</x:v>
      </x:c>
      <x:c r="D2" s="8" t="str">
        <x:v>标题分用于名称/别名相似度，JD分用于岗位职责与任职要求的文本相似度。自动结果仅用于建议；负责人、岗位一对多、JD差异均需人工确认。</x:v>
      </x:c>
      <x:c r="E2" s="8" t="str">
        <x:v>标题分用于名称/别名相似度，JD分用于岗位职责与任职要求的文本相似度。自动结果仅用于建议；负责人、岗位一对多、JD差异均需人工确认。</x:v>
      </x:c>
      <x:c r="F2" s="8" t="str">
        <x:v>标题分用于名称/别名相似度，JD分用于岗位职责与任职要求的文本相似度。自动结果仅用于建议；负责人、岗位一对多、JD差异均需人工确认。</x:v>
      </x:c>
      <x:c r="G2" s="8" t="str">
        <x:v>标题分用于名称/别名相似度，JD分用于岗位职责与任职要求的文本相似度。自动结果仅用于建议；负责人、岗位一对多、JD差异均需人工确认。</x:v>
      </x:c>
      <x:c r="H2" s="8" t="str">
        <x:v>标题分用于名称/别名相似度，JD分用于岗位职责与任职要求的文本相似度。自动结果仅用于建议；负责人、岗位一对多、JD差异均需人工确认。</x:v>
      </x:c>
      <x:c r="I2" s="8" t="str">
        <x:v>标题分用于名称/别名相似度，JD分用于岗位职责与任职要求的文本相似度。自动结果仅用于建议；负责人、岗位一对多、JD差异均需人工确认。</x:v>
      </x:c>
      <x:c r="J2" s="8" t="str">
        <x:v>标题分用于名称/别名相似度，JD分用于岗位职责与任职要求的文本相似度。自动结果仅用于建议；负责人、岗位一对多、JD差异均需人工确认。</x:v>
      </x:c>
      <x:c r="K2" s="8" t="str">
        <x:v>标题分用于名称/别名相似度，JD分用于岗位职责与任职要求的文本相似度。自动结果仅用于建议；负责人、岗位一对多、JD差异均需人工确认。</x:v>
      </x:c>
      <x:c r="L2" s="8" t="str">
        <x:v>标题分用于名称/别名相似度，JD分用于岗位职责与任职要求的文本相似度。自动结果仅用于建议；负责人、岗位一对多、JD差异均需人工确认。</x:v>
      </x:c>
      <x:c r="M2" s="8" t="str">
        <x:v>标题分用于名称/别名相似度，JD分用于岗位职责与任职要求的文本相似度。自动结果仅用于建议；负责人、岗位一对多、JD差异均需人工确认。</x:v>
      </x:c>
      <x:c r="N2" s="8" t="str">
        <x:v>标题分用于名称/别名相似度，JD分用于岗位职责与任职要求的文本相似度。自动结果仅用于建议；负责人、岗位一对多、JD差异均需人工确认。</x:v>
      </x:c>
      <x:c r="O2" s="8" t="str">
        <x:v>标题分用于名称/别名相似度，JD分用于岗位职责与任职要求的文本相似度。自动结果仅用于建议；负责人、岗位一对多、JD差异均需人工确认。</x:v>
      </x:c>
    </x:row>
    <x:row r="4" ht="28" customHeight="1">
      <x:c r="A4" s="14" t="str">
        <x:v>北森岗位数</x:v>
      </x:c>
      <x:c r="B4" s="14" t="str">
        <x:v>已建议映射</x:v>
      </x:c>
      <x:c r="C4" s="14" t="str">
        <x:v>未匹配</x:v>
      </x:c>
      <x:c r="D4" s="14" t="str">
        <x:v>待人工决策</x:v>
      </x:c>
    </x:row>
    <x:row r="5" ht="28" customHeight="1">
      <x:c r="A5" s="42" t="n">
        <x:v>10</x:v>
      </x:c>
      <x:c r="B5" s="43" t="n">
        <x:v>9</x:v>
      </x:c>
      <x:c r="C5" s="43" t="n">
        <x:v>1</x:v>
      </x:c>
      <x:c r="D5" s="44" t="n">
        <x:f>COUNTIF(N8:N17,"待决定")</x:f>
        <x:v>1</x:v>
      </x:c>
    </x:row>
    <x:row r="7" ht="28" customHeight="1">
      <x:c r="A7" s="14" t="str">
        <x:v>北森岗位</x:v>
      </x:c>
      <x:c r="B7" s="14" t="str">
        <x:v>北森状态</x:v>
      </x:c>
      <x:c r="C7" s="14" t="str">
        <x:v>北森岗位ID</x:v>
      </x:c>
      <x:c r="D7" s="14" t="str">
        <x:v>对应文档岗位（负责人关联）</x:v>
      </x:c>
      <x:c r="E7" s="14" t="str">
        <x:v>匹配方式</x:v>
      </x:c>
      <x:c r="F7" s="14" t="str">
        <x:v>标题分</x:v>
      </x:c>
      <x:c r="G7" s="14" t="str">
        <x:v>JD分</x:v>
      </x:c>
      <x:c r="H7" s="14" t="str">
        <x:v>汇总负责人</x:v>
      </x:c>
      <x:c r="I7" s="14" t="str">
        <x:v>汇总负责人邮箱</x:v>
      </x:c>
      <x:c r="J7" s="14" t="str">
        <x:v>北森HR负责人</x:v>
      </x:c>
      <x:c r="K7" s="14" t="str">
        <x:v>北森HR邮箱</x:v>
      </x:c>
      <x:c r="L7" s="14" t="str">
        <x:v>冲突类型</x:v>
      </x:c>
      <x:c r="M7" s="14" t="str">
        <x:v>建议处理</x:v>
      </x:c>
      <x:c r="N7" s="14" t="str">
        <x:v>人工决策</x:v>
      </x:c>
      <x:c r="O7" s="14" t="str">
        <x:v>决策备注</x:v>
      </x:c>
    </x:row>
    <x:row r="8" ht="150" customHeight="1">
      <x:c r="A8" s="31" t="str">
        <x:v>Amazon亚马逊运营</x:v>
      </x:c>
      <x:c r="B8" s="49" t="str">
        <x:v>有效</x:v>
      </x:c>
      <x:c r="C8" s="31" t="str">
        <x:v>c232d1ab-8684-4fe9-a4d4-03bd08e28a15</x:v>
      </x:c>
      <x:c r="D8" s="31" t="str">
        <x:v>亚马逊Amazon运营（中级）</x:v>
      </x:c>
      <x:c r="E8" s="31" t="str">
        <x:v>JD相似 + 人工复核</x:v>
      </x:c>
      <x:c r="F8" s="47" t="n">
        <x:v>0.82</x:v>
      </x:c>
      <x:c r="G8" s="47" t="n">
        <x:v>0.6645</x:v>
      </x:c>
      <x:c r="H8" s="31" t="str">
        <x:v>黄国云、张玲、张倩、黄发添、林春金、张丽丽、雷妹英、李晴晴、陈韵以、杨敏、陈丽颖、吴俊勇、陈敏云、游梦兰、魏秋云、刘鑫</x:v>
      </x:c>
      <x:c r="I8" s="57" t="str">
        <x:v>huangguoyun@nuptio.net；zhangling@nuptio.net；zhangqian@nuptio.net；huangfatian@nuptio.net；linchunjin@nuptio.net；zhanglili@nuptio.net；leimeiying@nuptio.net；liqingqing@nuptio.net；chenyunyi@nuptio.net；yangmin@nuptio.net；chenliying@nuptio.net；wujunyong@nuptio.net；chenminyun@nuptio.net；youmenglan@nuptio.net；weiqiuyun@nuptio.net；liuxin@nuptio.net</x:v>
      </x:c>
      <x:c r="J8" s="31" t="str">
        <x:v>陈晓彦</x:v>
      </x:c>
      <x:c r="K8" s="31" t="str">
        <x:v>chenxiaoyan@nuptio.net</x:v>
      </x:c>
      <x:c r="L8" s="31" t="str">
        <x:v>岗位一对多；名称差异；JD版本差异</x:v>
      </x:c>
      <x:c r="M8" s="31" t="str">
        <x:v>已确认系统评估JD采用北森当前版本</x:v>
      </x:c>
      <x:c r="N8" s="49" t="str">
        <x:v>采用北森</x:v>
      </x:c>
      <x:c r="O8" s="31" t="str">
        <x:v>系统岗位名称采用北森名称，系统评估JD采用北森当前JD。</x:v>
      </x:c>
    </x:row>
    <x:row r="9" ht="56" customHeight="1">
      <x:c r="A9" s="32" t="str">
        <x:v>Temu运营</x:v>
      </x:c>
      <x:c r="B9" s="50" t="str">
        <x:v>有效</x:v>
      </x:c>
      <x:c r="C9" s="32" t="str">
        <x:v>f444ec85-aae2-4fc9-bf9a-9a0b10e8027c</x:v>
      </x:c>
      <x:c r="D9" s="32" t="str">
        <x:v>Temu运营</x:v>
      </x:c>
      <x:c r="E9" s="32" t="str">
        <x:v>标准化名称精确</x:v>
      </x:c>
      <x:c r="F9" s="48" t="n">
        <x:v>1</x:v>
      </x:c>
      <x:c r="G9" s="48" t="n">
        <x:v>0.5523</x:v>
      </x:c>
      <x:c r="H9" s="32" t="str">
        <x:v>刘鑫</x:v>
      </x:c>
      <x:c r="I9" s="58" t="str">
        <x:v>liuxin@nuptio.net</x:v>
      </x:c>
      <x:c r="J9" s="32" t="str">
        <x:v>陈晓彦</x:v>
      </x:c>
      <x:c r="K9" s="32" t="str">
        <x:v>chenxiaoyan@nuptio.net</x:v>
      </x:c>
      <x:c r="L9" s="32" t="str">
        <x:v>JD存在差异</x:v>
      </x:c>
      <x:c r="M9" s="32" t="str">
        <x:v>已确认系统评估JD采用北森当前版本</x:v>
      </x:c>
      <x:c r="N9" s="50" t="str">
        <x:v>采用北森</x:v>
      </x:c>
      <x:c r="O9" s="32" t="str">
        <x:v>系统岗位名称和系统评估JD均采用北森当前数据。</x:v>
      </x:c>
    </x:row>
    <x:row r="10" ht="56" customHeight="1">
      <x:c r="A10" s="32" t="str">
        <x:v>Tiktok店铺运营</x:v>
      </x:c>
      <x:c r="B10" s="50" t="str">
        <x:v>有效</x:v>
      </x:c>
      <x:c r="C10" s="32" t="str">
        <x:v>93c2e374-1303-499e-abab-cf4f97603adc</x:v>
      </x:c>
      <x:c r="D10" s="32" t="str">
        <x:v>TK运营/Tiktok运营</x:v>
      </x:c>
      <x:c r="E10" s="32" t="str">
        <x:v>别名 + JD精确</x:v>
      </x:c>
      <x:c r="F10" s="48" t="n">
        <x:v>0.8</x:v>
      </x:c>
      <x:c r="G10" s="48" t="n">
        <x:v>1</x:v>
      </x:c>
      <x:c r="H10" s="32" t="str">
        <x:v>吴晨静、苏碧龙</x:v>
      </x:c>
      <x:c r="I10" s="58" t="str">
        <x:v>wuchenjing@nuptio.net；subilong@nuptio.net</x:v>
      </x:c>
      <x:c r="J10" s="32" t="str">
        <x:v>陈晓彦</x:v>
      </x:c>
      <x:c r="K10" s="32" t="str">
        <x:v>chenxiaoyan@nuptio.net</x:v>
      </x:c>
      <x:c r="L10" s="32" t="str">
        <x:v>名称差异</x:v>
      </x:c>
      <x:c r="M10" s="32" t="str">
        <x:v>已确认系统评估JD采用北森当前版本</x:v>
      </x:c>
      <x:c r="N10" s="50" t="str">
        <x:v>采用北森</x:v>
      </x:c>
      <x:c r="O10" s="32" t="str">
        <x:v>系统名称采用“Tiktok店铺运营”，文档岗位仅用于关联审核负责人。</x:v>
      </x:c>
    </x:row>
    <x:row r="11" ht="56" customHeight="1">
      <x:c r="A11" s="32" t="str">
        <x:v>ai算法工程师</x:v>
      </x:c>
      <x:c r="B11" s="50" t="str">
        <x:v>有效</x:v>
      </x:c>
      <x:c r="C11" s="32" t="str">
        <x:v>b25cb6bc-0ddd-4b80-b85e-7aaad34efa52</x:v>
      </x:c>
      <x:c r="D11" s="32" t="str">
        <x:v>AI工程师</x:v>
      </x:c>
      <x:c r="E11" s="32" t="str">
        <x:v>别名 + JD高相似</x:v>
      </x:c>
      <x:c r="F11" s="48" t="n">
        <x:v>0.8333</x:v>
      </x:c>
      <x:c r="G11" s="48" t="n">
        <x:v>0.7705</x:v>
      </x:c>
      <x:c r="H11" s="32" t="str">
        <x:v>陈建雄</x:v>
      </x:c>
      <x:c r="I11" s="58" t="str">
        <x:v>chenjianxiong@nuptio.net</x:v>
      </x:c>
      <x:c r="J11" s="32" t="str">
        <x:v>陈晓彦</x:v>
      </x:c>
      <x:c r="K11" s="32" t="str">
        <x:v>chenxiaoyan@nuptio.net</x:v>
      </x:c>
      <x:c r="L11" s="32" t="str">
        <x:v>名称差异；JD存在差异</x:v>
      </x:c>
      <x:c r="M11" s="32" t="str">
        <x:v>已确认系统评估JD采用北森当前版本</x:v>
      </x:c>
      <x:c r="N11" s="50" t="str">
        <x:v>采用北森</x:v>
      </x:c>
      <x:c r="O11" s="32" t="str">
        <x:v>系统名称采用“ai算法工程师”，系统评估JD采用北森当前JD。</x:v>
      </x:c>
    </x:row>
    <x:row r="12" ht="56" customHeight="1">
      <x:c r="A12" s="32" t="str">
        <x:v>产品经理（跨境电商方向）</x:v>
      </x:c>
      <x:c r="B12" s="50" t="str">
        <x:v>有效</x:v>
      </x:c>
      <x:c r="C12" s="32" t="str">
        <x:v>864e685b-3654-4ccb-8a6d-0c6a91f659b5</x:v>
      </x:c>
      <x:c r="D12" s="32" t="str">
        <x:v>产品经理（出海赛道/双休）/产品开发经理（出海赛道/双休）</x:v>
      </x:c>
      <x:c r="E12" s="32" t="str">
        <x:v>别名 + JD相似</x:v>
      </x:c>
      <x:c r="F12" s="48" t="n">
        <x:v>0.82</x:v>
      </x:c>
      <x:c r="G12" s="48" t="n">
        <x:v>0.5985</x:v>
      </x:c>
      <x:c r="H12" s="32" t="str">
        <x:v>邵红霖</x:v>
      </x:c>
      <x:c r="I12" s="58" t="str">
        <x:v>shaohonglin@nuptio.net</x:v>
      </x:c>
      <x:c r="J12" s="32" t="str">
        <x:v>陈晓彦</x:v>
      </x:c>
      <x:c r="K12" s="32" t="str">
        <x:v>chenxiaoyan@nuptio.net</x:v>
      </x:c>
      <x:c r="L12" s="32" t="str">
        <x:v>名称差异；JD版本差异</x:v>
      </x:c>
      <x:c r="M12" s="32" t="str">
        <x:v>已确认系统评估JD采用北森当前版本</x:v>
      </x:c>
      <x:c r="N12" s="50" t="str">
        <x:v>采用北森</x:v>
      </x:c>
      <x:c r="O12" s="32" t="str">
        <x:v>系统岗位名称采用北森名称，系统评估JD采用北森当前JD。</x:v>
      </x:c>
    </x:row>
    <x:row r="13" ht="56" customHeight="1">
      <x:c r="A13" s="32" t="str">
        <x:v>产品设计师</x:v>
      </x:c>
      <x:c r="B13" s="50" t="str">
        <x:v>有效</x:v>
      </x:c>
      <x:c r="C13" s="32" t="str">
        <x:v>8c7714c1-77a8-4b82-8324-fbcf6196030a</x:v>
      </x:c>
      <x:c r="D13" s="32" t="str">
        <x:v>产品设计师</x:v>
      </x:c>
      <x:c r="E13" s="32" t="str">
        <x:v>名称精确 + JD高相似</x:v>
      </x:c>
      <x:c r="F13" s="48" t="n">
        <x:v>1</x:v>
      </x:c>
      <x:c r="G13" s="48" t="n">
        <x:v>0.9421</x:v>
      </x:c>
      <x:c r="H13" s="32" t="str">
        <x:v>李艳霞、邵红霖</x:v>
      </x:c>
      <x:c r="I13" s="58" t="str">
        <x:v>liyanxia@nuptio.net；shaohonglin@nuptio.net</x:v>
      </x:c>
      <x:c r="J13" s="32" t="str">
        <x:v>陈晓彦</x:v>
      </x:c>
      <x:c r="K13" s="32" t="str">
        <x:v>chenxiaoyan@nuptio.net</x:v>
      </x:c>
      <x:c r="L13" s="32" t="str">
        <x:v>无JD冲突</x:v>
      </x:c>
      <x:c r="M13" s="32" t="str">
        <x:v>已确认系统评估JD采用北森当前版本</x:v>
      </x:c>
      <x:c r="N13" s="50" t="str">
        <x:v>采用北森</x:v>
      </x:c>
      <x:c r="O13" s="32" t="str">
        <x:v>系统岗位名称和系统评估JD均采用北森当前数据。</x:v>
      </x:c>
    </x:row>
    <x:row r="14" ht="56" customHeight="1">
      <x:c r="A14" s="32" t="str">
        <x:v>测试</x:v>
      </x:c>
      <x:c r="B14" s="50" t="str">
        <x:v>历史</x:v>
      </x:c>
      <x:c r="C14" s="32" t="str">
        <x:v>31708366-84b4-45ff-9bb2-6b8374123a82</x:v>
      </x:c>
      <x:c r="D14" s="32" t="str">
        <x:v>未找到对应岗位</x:v>
      </x:c>
      <x:c r="E14" s="32" t="str">
        <x:v>未匹配</x:v>
      </x:c>
      <x:c r="F14" s="48" t="n">
        <x:v>0</x:v>
      </x:c>
      <x:c r="G14" s="48" t="n">
        <x:v>0</x:v>
      </x:c>
      <x:c r="H14" s="32" t="str">
        <x:v>无</x:v>
      </x:c>
      <x:c r="I14" s="58" t="str">
        <x:v>待确认负责人后补充</x:v>
      </x:c>
      <x:c r="J14" s="32" t="str">
        <x:v>邱平芳</x:v>
      </x:c>
      <x:c r="K14" s="32" t="str">
        <x:v>qiupingfang@nuptio.net</x:v>
      </x:c>
      <x:c r="L14" s="32" t="str">
        <x:v>汇总无对应岗位；北森为历史岗位</x:v>
      </x:c>
      <x:c r="M14" s="32" t="str">
        <x:v>建议不关联并保留为北森历史记录</x:v>
      </x:c>
      <x:c r="N14" s="50" t="str">
        <x:v>待决定</x:v>
      </x:c>
      <x:c r="O14" s="32" t="str"/>
    </x:row>
    <x:row r="15" ht="56" customHeight="1">
      <x:c r="A15" s="32" t="str">
        <x:v>海外社媒运营</x:v>
      </x:c>
      <x:c r="B15" s="50" t="str">
        <x:v>有效</x:v>
      </x:c>
      <x:c r="C15" s="32" t="str">
        <x:v>15a525bb-28f2-4458-b319-e074c4d05f7b</x:v>
      </x:c>
      <x:c r="D15" s="32" t="str">
        <x:v>海外社交媒体运营/新媒体运营（面向海外）/海外社媒运营/社交媒体推广专员</x:v>
      </x:c>
      <x:c r="E15" s="32" t="str">
        <x:v>别名精确 + JD精确</x:v>
      </x:c>
      <x:c r="F15" s="48" t="n">
        <x:v>1</x:v>
      </x:c>
      <x:c r="G15" s="48" t="n">
        <x:v>1</x:v>
      </x:c>
      <x:c r="H15" s="32" t="str">
        <x:v>苏碧龙</x:v>
      </x:c>
      <x:c r="I15" s="58" t="str">
        <x:v>subilong@nuptio.net</x:v>
      </x:c>
      <x:c r="J15" s="32" t="str">
        <x:v>陈晓彦</x:v>
      </x:c>
      <x:c r="K15" s="32" t="str">
        <x:v>chenxiaoyan@nuptio.net</x:v>
      </x:c>
      <x:c r="L15" s="32" t="str">
        <x:v>无JD冲突</x:v>
      </x:c>
      <x:c r="M15" s="32" t="str">
        <x:v>已确认系统评估JD采用北森当前版本</x:v>
      </x:c>
      <x:c r="N15" s="50" t="str">
        <x:v>采用北森</x:v>
      </x:c>
      <x:c r="O15" s="32" t="str">
        <x:v>系统名称采用“海外社媒运营”，文档别名仅用于关联审核负责人。</x:v>
      </x:c>
    </x:row>
    <x:row r="16" ht="150" customHeight="1">
      <x:c r="A16" s="32" t="str">
        <x:v>跨境电商运营（应届生可投）</x:v>
      </x:c>
      <x:c r="B16" s="50" t="str">
        <x:v>有效</x:v>
      </x:c>
      <x:c r="C16" s="32" t="str">
        <x:v>775310dd-2b53-4dfc-8652-bccf4b85d449</x:v>
      </x:c>
      <x:c r="D16" s="32" t="str">
        <x:v>跨境电商运营（应届生可投）</x:v>
      </x:c>
      <x:c r="E16" s="32" t="str">
        <x:v>名称精确 + JD高相似</x:v>
      </x:c>
      <x:c r="F16" s="48" t="n">
        <x:v>1</x:v>
      </x:c>
      <x:c r="G16" s="48" t="n">
        <x:v>0.9721</x:v>
      </x:c>
      <x:c r="H16" s="32" t="str">
        <x:v>黄国云、张玲、张倩、黄发添、林春金、张丽丽、雷妹英、李晴晴、陈韵以、杨敏、陈丽颖、吴俊勇、陈敏云、游梦兰、魏秋云、刘鑫</x:v>
      </x:c>
      <x:c r="I16" s="58" t="str">
        <x:v>huangguoyun@nuptio.net；zhangling@nuptio.net；zhangqian@nuptio.net；huangfatian@nuptio.net；linchunjin@nuptio.net；zhanglili@nuptio.net；leimeiying@nuptio.net；liqingqing@nuptio.net；chenyunyi@nuptio.net；yangmin@nuptio.net；chenliying@nuptio.net；wujunyong@nuptio.net；chenminyun@nuptio.net；youmenglan@nuptio.net；weiqiuyun@nuptio.net；liuxin@nuptio.net</x:v>
      </x:c>
      <x:c r="J16" s="32" t="str">
        <x:v>陈晓彦</x:v>
      </x:c>
      <x:c r="K16" s="32" t="str">
        <x:v>chenxiaoyan@nuptio.net</x:v>
      </x:c>
      <x:c r="L16" s="32" t="str">
        <x:v>无JD冲突</x:v>
      </x:c>
      <x:c r="M16" s="32" t="str">
        <x:v>已确认系统评估JD采用北森当前版本</x:v>
      </x:c>
      <x:c r="N16" s="50" t="str">
        <x:v>采用北森</x:v>
      </x:c>
      <x:c r="O16" s="32" t="str">
        <x:v>系统岗位名称和系统评估JD均采用北森当前数据。</x:v>
      </x:c>
    </x:row>
    <x:row r="17" ht="56" customHeight="1">
      <x:c r="A17" s="32" t="str">
        <x:v>采购开发工程师</x:v>
      </x:c>
      <x:c r="B17" s="50" t="str">
        <x:v>有效</x:v>
      </x:c>
      <x:c r="C17" s="32" t="str">
        <x:v>9d90b0ae-8ba0-4b56-bfab-1c015440b04d</x:v>
      </x:c>
      <x:c r="D17" s="32" t="str">
        <x:v>采购开发工程师</x:v>
      </x:c>
      <x:c r="E17" s="32" t="str">
        <x:v>名称精确（JD冲突）</x:v>
      </x:c>
      <x:c r="F17" s="48" t="n">
        <x:v>1</x:v>
      </x:c>
      <x:c r="G17" s="48" t="n">
        <x:v>0.0349</x:v>
      </x:c>
      <x:c r="H17" s="32" t="str">
        <x:v>朱琳珊、黄丽清</x:v>
      </x:c>
      <x:c r="I17" s="58" t="str">
        <x:v>zhulinshan@nuptio.net；huangliqing@nuptio.net</x:v>
      </x:c>
      <x:c r="J17" s="32" t="str">
        <x:v>陈晓彦</x:v>
      </x:c>
      <x:c r="K17" s="32" t="str">
        <x:v>chenxiaoyan@nuptio.net</x:v>
      </x:c>
      <x:c r="L17" s="32" t="str">
        <x:v>JD内容显著冲突</x:v>
      </x:c>
      <x:c r="M17" s="32" t="str">
        <x:v>已合并北森JD与招聘汇总JD，系统评估JD采用合并版本</x:v>
      </x:c>
      <x:c r="N17" s="50" t="str">
        <x:v>合并JD</x:v>
      </x:c>
      <x:c r="O17" s="32" t="str">
        <x:v>合并北森JD与招聘汇总JD；工作经验冲突按至少3年执行。</x:v>
      </x:c>
    </x:row>
  </x:sheetData>
  <x:mergeCells>
    <x:mergeCell ref="A1:O1"/>
    <x:mergeCell ref="A2:O2"/>
  </x:mergeCells>
  <x:conditionalFormatting sqref="N8:N17">
    <x:cfRule type="containsText" dxfId="2" priority="1" operator="containsText" text="待决定"/>
    <x:cfRule type="containsText" dxfId="9" priority="4" operator="containsText" text="采用北森"/>
    <x:cfRule type="containsText" dxfId="10" priority="5" operator="containsText" text="合并JD"/>
    <x:cfRule type="containsText" dxfId="13" priority="6" operator="containsText" text="采用北森"/>
    <x:cfRule type="containsText" dxfId="14" priority="7" operator="containsText" text="合并JD"/>
  </x:conditionalFormatting>
  <x:conditionalFormatting sqref="L8:L17">
    <x:cfRule type="containsText" dxfId="3" priority="2" operator="containsText" text="显著冲突"/>
  </x:conditionalFormatting>
  <x:conditionalFormatting sqref="D8:D17">
    <x:cfRule type="containsText" dxfId="4" priority="3" operator="containsText" text="未找到"/>
  </x:conditionalFormatting>
  <x:dataValidations count="1">
    <x:dataValidation type="list" sqref="N8:N17">
      <x:formula1>"待决定,采用汇总,采用北森,合并JD,建立别名映射,不关联"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963a984d0f44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44" hidden="0" customWidth="1"/>
    <x:col min="5" max="5" width="42" hidden="0" customWidth="1"/>
    <x:col min="6" max="6" width="54" hidden="0" customWidth="1"/>
    <x:col min="7" max="7" width="18" hidden="0" customWidth="1"/>
    <x:col min="8" max="8" width="30" hidden="0" customWidth="1"/>
    <x:col min="9" max="9" width="38" hidden="0" customWidth="1"/>
  </x:cols>
  <x:sheetData>
    <x:row r="1" ht="34" customHeight="1">
      <x:c r="A1" s="4" t="str">
        <x:v>需要人工决策的岗位冲突</x:v>
      </x:c>
      <x:c r="B1" s="4" t="str">
        <x:v>需要人工决策的岗位冲突</x:v>
      </x:c>
      <x:c r="C1" s="4" t="str">
        <x:v>需要人工决策的岗位冲突</x:v>
      </x:c>
      <x:c r="D1" s="4" t="str">
        <x:v>需要人工决策的岗位冲突</x:v>
      </x:c>
      <x:c r="E1" s="4" t="str">
        <x:v>需要人工决策的岗位冲突</x:v>
      </x:c>
      <x:c r="F1" s="4" t="str">
        <x:v>需要人工决策的岗位冲突</x:v>
      </x:c>
      <x:c r="G1" s="4" t="str">
        <x:v>需要人工决策的岗位冲突</x:v>
      </x:c>
      <x:c r="H1" s="4" t="str">
        <x:v>需要人工决策的岗位冲突</x:v>
      </x:c>
      <x:c r="I1" s="4" t="str">
        <x:v>需要人工决策的岗位冲突</x:v>
      </x:c>
    </x:row>
    <x:row r="2" ht="38" customHeight="1">
      <x:c r="A2" s="8" t="str">
        <x:v>优先处理岗位一对多、未匹配和JD显著冲突。若确认“北森HR负责人”和文档“招聘负责人”不是同一业务字段，应分别保留，不互相覆盖。</x:v>
      </x:c>
      <x:c r="B2" s="8" t="str">
        <x:v>优先处理岗位一对多、未匹配和JD显著冲突。若确认“北森HR负责人”和文档“招聘负责人”不是同一业务字段，应分别保留，不互相覆盖。</x:v>
      </x:c>
      <x:c r="C2" s="8" t="str">
        <x:v>优先处理岗位一对多、未匹配和JD显著冲突。若确认“北森HR负责人”和文档“招聘负责人”不是同一业务字段，应分别保留，不互相覆盖。</x:v>
      </x:c>
      <x:c r="D2" s="8" t="str">
        <x:v>优先处理岗位一对多、未匹配和JD显著冲突。若确认“北森HR负责人”和文档“招聘负责人”不是同一业务字段，应分别保留，不互相覆盖。</x:v>
      </x:c>
      <x:c r="E2" s="8" t="str">
        <x:v>优先处理岗位一对多、未匹配和JD显著冲突。若确认“北森HR负责人”和文档“招聘负责人”不是同一业务字段，应分别保留，不互相覆盖。</x:v>
      </x:c>
      <x:c r="F2" s="8" t="str">
        <x:v>优先处理岗位一对多、未匹配和JD显著冲突。若确认“北森HR负责人”和文档“招聘负责人”不是同一业务字段，应分别保留，不互相覆盖。</x:v>
      </x:c>
      <x:c r="G2" s="8" t="str">
        <x:v>优先处理岗位一对多、未匹配和JD显著冲突。若确认“北森HR负责人”和文档“招聘负责人”不是同一业务字段，应分别保留，不互相覆盖。</x:v>
      </x:c>
      <x:c r="H2" s="8" t="str">
        <x:v>优先处理岗位一对多、未匹配和JD显著冲突。若确认“北森HR负责人”和文档“招聘负责人”不是同一业务字段，应分别保留，不互相覆盖。</x:v>
      </x:c>
      <x:c r="I2" s="8" t="str">
        <x:v>优先处理岗位一对多、未匹配和JD显著冲突。若确认“北森HR负责人”和文档“招聘负责人”不是同一业务字段，应分别保留，不互相覆盖。</x:v>
      </x:c>
    </x:row>
    <x:row r="4" ht="28" customHeight="1">
      <x:c r="A4" s="14" t="str">
        <x:v>优先级</x:v>
      </x:c>
      <x:c r="B4" s="14" t="str">
        <x:v>北森岗位</x:v>
      </x:c>
      <x:c r="C4" s="14" t="str">
        <x:v>汇总岗位</x:v>
      </x:c>
      <x:c r="D4" s="14" t="str">
        <x:v>冲突类型</x:v>
      </x:c>
      <x:c r="E4" s="14" t="str">
        <x:v>负责人对比</x:v>
      </x:c>
      <x:c r="F4" s="14" t="str">
        <x:v>建议处理</x:v>
      </x:c>
      <x:c r="G4" s="14" t="str">
        <x:v>人工决策</x:v>
      </x:c>
      <x:c r="H4" s="14" t="str">
        <x:v>决策备注</x:v>
      </x:c>
      <x:c r="I4" s="14" t="str">
        <x:v>北森岗位ID</x:v>
      </x:c>
    </x:row>
    <x:row r="5" ht="62" customHeight="1">
      <x:c r="A5" s="31" t="str">
        <x:v>高</x:v>
      </x:c>
      <x:c r="B5" s="31" t="str">
        <x:v>Amazon亚马逊运营</x:v>
      </x:c>
      <x:c r="C5" s="31" t="str">
        <x:v>亚马逊Amazon运营（中级）</x:v>
      </x:c>
      <x:c r="D5" s="31" t="str">
        <x:v>岗位一对多；名称差异；JD版本差异</x:v>
      </x:c>
      <x:c r="E5" s="31" t="str">
        <x:v>汇总：黄国云、张玲、张倩、黄发添、林春金、张丽丽、雷妹英、李晴晴、陈韵以、杨敏、陈丽颖、吴俊勇、陈敏云、游梦兰、魏秋云、刘鑫
北森HR：陈晓彦</x:v>
      </x:c>
      <x:c r="F5" s="31" t="str">
        <x:v>已确认系统评估JD采用北森当前版本</x:v>
      </x:c>
      <x:c r="G5" s="31" t="str">
        <x:v>采用北森</x:v>
      </x:c>
      <x:c r="H5" s="31" t="str">
        <x:v>系统岗位名称采用北森名称，系统评估JD采用北森当前JD。</x:v>
      </x:c>
      <x:c r="I5" s="31" t="str">
        <x:v>c232d1ab-8684-4fe9-a4d4-03bd08e28a15</x:v>
      </x:c>
    </x:row>
    <x:row r="6" ht="62" customHeight="1">
      <x:c r="A6" s="32" t="str">
        <x:v>高</x:v>
      </x:c>
      <x:c r="B6" s="32" t="str">
        <x:v>产品经理（跨境电商方向）</x:v>
      </x:c>
      <x:c r="C6" s="32" t="str">
        <x:v>产品经理（出海赛道/双休）/产品开发经理（出海赛道/双休）</x:v>
      </x:c>
      <x:c r="D6" s="32" t="str">
        <x:v>名称差异；JD版本差异</x:v>
      </x:c>
      <x:c r="E6" s="32" t="str">
        <x:v>汇总：邵红霖
北森HR：陈晓彦</x:v>
      </x:c>
      <x:c r="F6" s="32" t="str">
        <x:v>已确认系统评估JD采用北森当前版本</x:v>
      </x:c>
      <x:c r="G6" s="32" t="str">
        <x:v>采用北森</x:v>
      </x:c>
      <x:c r="H6" s="32" t="str">
        <x:v>系统岗位名称采用北森名称，系统评估JD采用北森当前JD。</x:v>
      </x:c>
      <x:c r="I6" s="32" t="str">
        <x:v>864e685b-3654-4ccb-8a6d-0c6a91f659b5</x:v>
      </x:c>
    </x:row>
    <x:row r="7" ht="62" customHeight="1">
      <x:c r="A7" s="32" t="str">
        <x:v>高</x:v>
      </x:c>
      <x:c r="B7" s="32" t="str">
        <x:v>测试</x:v>
      </x:c>
      <x:c r="C7" s="32" t="str">
        <x:v>未找到对应岗位</x:v>
      </x:c>
      <x:c r="D7" s="32" t="str">
        <x:v>汇总无对应岗位；北森为历史岗位</x:v>
      </x:c>
      <x:c r="E7" s="32" t="str">
        <x:v>汇总：无
北森HR：邱平芳</x:v>
      </x:c>
      <x:c r="F7" s="32" t="str">
        <x:v>建议不关联并保留为北森历史记录</x:v>
      </x:c>
      <x:c r="G7" s="32" t="str">
        <x:v>待决定</x:v>
      </x:c>
      <x:c r="H7" s="32" t="str"/>
      <x:c r="I7" s="32" t="str">
        <x:v>31708366-84b4-45ff-9bb2-6b8374123a82</x:v>
      </x:c>
    </x:row>
    <x:row r="8" ht="62" customHeight="1">
      <x:c r="A8" s="32" t="str">
        <x:v>高</x:v>
      </x:c>
      <x:c r="B8" s="32" t="str">
        <x:v>采购开发工程师</x:v>
      </x:c>
      <x:c r="C8" s="32" t="str">
        <x:v>采购开发工程师</x:v>
      </x:c>
      <x:c r="D8" s="32" t="str">
        <x:v>JD内容显著冲突</x:v>
      </x:c>
      <x:c r="E8" s="32" t="str">
        <x:v>汇总：朱琳珊、黄丽清
北森HR：陈晓彦</x:v>
      </x:c>
      <x:c r="F8" s="32" t="str">
        <x:v>已形成合并JD；经验要求按至少3年执行</x:v>
      </x:c>
      <x:c r="G8" s="32" t="str">
        <x:v>合并JD</x:v>
      </x:c>
      <x:c r="H8" s="32" t="str">
        <x:v>合并北森JD与招聘汇总JD；工作经验冲突按至少3年执行。</x:v>
      </x:c>
      <x:c r="I8" s="32" t="str">
        <x:v>9d90b0ae-8ba0-4b56-bfab-1c015440b04d</x:v>
      </x:c>
    </x:row>
    <x:row r="9" ht="62" customHeight="1">
      <x:c r="A9" s="32" t="str">
        <x:v>中</x:v>
      </x:c>
      <x:c r="B9" s="32" t="str">
        <x:v>Temu运营</x:v>
      </x:c>
      <x:c r="C9" s="32" t="str">
        <x:v>Temu运营</x:v>
      </x:c>
      <x:c r="D9" s="32" t="str">
        <x:v>JD存在差异</x:v>
      </x:c>
      <x:c r="E9" s="32" t="str">
        <x:v>汇总：刘鑫
北森HR：陈晓彦</x:v>
      </x:c>
      <x:c r="F9" s="32" t="str">
        <x:v>已确认系统评估JD采用北森当前版本</x:v>
      </x:c>
      <x:c r="G9" s="32" t="str">
        <x:v>采用北森</x:v>
      </x:c>
      <x:c r="H9" s="32" t="str">
        <x:v>系统岗位名称和系统评估JD均采用北森当前数据。</x:v>
      </x:c>
      <x:c r="I9" s="32" t="str">
        <x:v>f444ec85-aae2-4fc9-bf9a-9a0b10e8027c</x:v>
      </x:c>
    </x:row>
    <x:row r="10" ht="62" customHeight="1">
      <x:c r="A10" s="32" t="str">
        <x:v>中</x:v>
      </x:c>
      <x:c r="B10" s="32" t="str">
        <x:v>ai算法工程师</x:v>
      </x:c>
      <x:c r="C10" s="32" t="str">
        <x:v>AI工程师</x:v>
      </x:c>
      <x:c r="D10" s="32" t="str">
        <x:v>名称差异；JD存在差异</x:v>
      </x:c>
      <x:c r="E10" s="32" t="str">
        <x:v>汇总：陈建雄
北森HR：陈晓彦</x:v>
      </x:c>
      <x:c r="F10" s="32" t="str">
        <x:v>已确认系统评估JD采用北森当前版本</x:v>
      </x:c>
      <x:c r="G10" s="32" t="str">
        <x:v>采用北森</x:v>
      </x:c>
      <x:c r="H10" s="32" t="str">
        <x:v>系统名称采用“ai算法工程师”，系统评估JD采用北森当前JD。</x:v>
      </x:c>
      <x:c r="I10" s="32" t="str">
        <x:v>b25cb6bc-0ddd-4b80-b85e-7aaad34efa52</x:v>
      </x:c>
    </x:row>
    <x:row r="11" ht="62" customHeight="1">
      <x:c r="A11" s="32" t="str">
        <x:v>低</x:v>
      </x:c>
      <x:c r="B11" s="32" t="str">
        <x:v>Tiktok店铺运营</x:v>
      </x:c>
      <x:c r="C11" s="32" t="str">
        <x:v>TK运营/Tiktok运营</x:v>
      </x:c>
      <x:c r="D11" s="32" t="str">
        <x:v>名称差异</x:v>
      </x:c>
      <x:c r="E11" s="32" t="str">
        <x:v>汇总：吴晨静、苏碧龙
北森HR：陈晓彦</x:v>
      </x:c>
      <x:c r="F11" s="32" t="str">
        <x:v>已确认系统评估JD采用北森当前版本</x:v>
      </x:c>
      <x:c r="G11" s="32" t="str">
        <x:v>采用北森</x:v>
      </x:c>
      <x:c r="H11" s="32" t="str">
        <x:v>系统名称采用“Tiktok店铺运营”，文档岗位仅用于关联审核负责人。</x:v>
      </x:c>
      <x:c r="I11" s="32" t="str">
        <x:v>93c2e374-1303-499e-abab-cf4f97603adc</x:v>
      </x:c>
    </x:row>
    <x:row r="12" ht="62" customHeight="1">
      <x:c r="A12" s="32" t="str">
        <x:v>低</x:v>
      </x:c>
      <x:c r="B12" s="32" t="str">
        <x:v>产品设计师</x:v>
      </x:c>
      <x:c r="C12" s="32" t="str">
        <x:v>产品设计师</x:v>
      </x:c>
      <x:c r="D12" s="32" t="str">
        <x:v>无JD冲突</x:v>
      </x:c>
      <x:c r="E12" s="32" t="str">
        <x:v>汇总：李艳霞、邵红霖
北森HR：陈晓彦</x:v>
      </x:c>
      <x:c r="F12" s="32" t="str">
        <x:v>已确认系统评估JD采用北森当前版本</x:v>
      </x:c>
      <x:c r="G12" s="32" t="str">
        <x:v>采用北森</x:v>
      </x:c>
      <x:c r="H12" s="32" t="str">
        <x:v>系统岗位名称和系统评估JD均采用北森当前数据。</x:v>
      </x:c>
      <x:c r="I12" s="32" t="str">
        <x:v>8c7714c1-77a8-4b82-8324-fbcf6196030a</x:v>
      </x:c>
    </x:row>
    <x:row r="13" ht="62" customHeight="1">
      <x:c r="A13" s="32" t="str">
        <x:v>低</x:v>
      </x:c>
      <x:c r="B13" s="32" t="str">
        <x:v>海外社媒运营</x:v>
      </x:c>
      <x:c r="C13" s="32" t="str">
        <x:v>海外社交媒体运营/新媒体运营（面向海外）/海外社媒运营/社交媒体推广专员</x:v>
      </x:c>
      <x:c r="D13" s="32" t="str">
        <x:v>无JD冲突</x:v>
      </x:c>
      <x:c r="E13" s="32" t="str">
        <x:v>汇总：苏碧龙
北森HR：陈晓彦</x:v>
      </x:c>
      <x:c r="F13" s="32" t="str">
        <x:v>已确认系统评估JD采用北森当前版本</x:v>
      </x:c>
      <x:c r="G13" s="32" t="str">
        <x:v>采用北森</x:v>
      </x:c>
      <x:c r="H13" s="32" t="str">
        <x:v>系统名称采用“海外社媒运营”，文档别名仅用于关联审核负责人。</x:v>
      </x:c>
      <x:c r="I13" s="32" t="str">
        <x:v>15a525bb-28f2-4458-b319-e074c4d05f7b</x:v>
      </x:c>
    </x:row>
    <x:row r="14" ht="62" customHeight="1">
      <x:c r="A14" s="32" t="str">
        <x:v>低</x:v>
      </x:c>
      <x:c r="B14" s="32" t="str">
        <x:v>跨境电商运营（应届生可投）</x:v>
      </x:c>
      <x:c r="C14" s="32" t="str">
        <x:v>跨境电商运营（应届生可投）</x:v>
      </x:c>
      <x:c r="D14" s="32" t="str">
        <x:v>无JD冲突</x:v>
      </x:c>
      <x:c r="E14" s="32" t="str">
        <x:v>汇总：黄国云、张玲、张倩、黄发添、林春金、张丽丽、雷妹英、李晴晴、陈韵以、杨敏、陈丽颖、吴俊勇、陈敏云、游梦兰、魏秋云、刘鑫
北森HR：陈晓彦</x:v>
      </x:c>
      <x:c r="F14" s="32" t="str">
        <x:v>已确认系统评估JD采用北森当前版本</x:v>
      </x:c>
      <x:c r="G14" s="32" t="str">
        <x:v>采用北森</x:v>
      </x:c>
      <x:c r="H14" s="32" t="str">
        <x:v>系统岗位名称和系统评估JD均采用北森当前数据。</x:v>
      </x:c>
      <x:c r="I14" s="32" t="str">
        <x:v>775310dd-2b53-4dfc-8652-bccf4b85d449</x:v>
      </x:c>
    </x:row>
  </x:sheetData>
  <x:mergeCells>
    <x:mergeCell ref="A1:I1"/>
    <x:mergeCell ref="A2:I2"/>
  </x:mergeCells>
  <x:conditionalFormatting sqref="A5:A14">
    <x:cfRule type="containsText" dxfId="5" priority="1" operator="containsText" text="高"/>
    <x:cfRule type="containsText" dxfId="6" priority="2" operator="containsText" text="中"/>
    <x:cfRule type="containsText" dxfId="7" priority="3" operator="containsText" text="低"/>
  </x:conditionalFormatting>
  <x:conditionalFormatting sqref="G5:G14">
    <x:cfRule type="containsText" dxfId="8" priority="4" operator="containsText" text="待决定"/>
    <x:cfRule type="containsText" dxfId="11" priority="5" operator="containsText" text="采用北森"/>
    <x:cfRule type="containsText" dxfId="12" priority="6" operator="containsText" text="合并JD"/>
    <x:cfRule type="containsText" dxfId="15" priority="7" operator="containsText" text="采用北森"/>
    <x:cfRule type="containsText" dxfId="16" priority="8" operator="containsText" text="合并JD"/>
  </x:conditionalFormatting>
  <x:dataValidations count="1">
    <x:dataValidation type="list" sqref="G5:G14">
      <x:formula1>"待决定,采用汇总,采用北森,合并JD,建立别名映射,不关联"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512cf284f243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34" customHeight="1">
      <x:c r="A1" s="4" t="str">
        <x:v>北森岗位映射建议</x:v>
      </x:c>
      <x:c r="B1" s="4" t="str">
        <x:v>北森岗位映射建议</x:v>
      </x:c>
    </x:row>
    <x:row r="2" ht="38" customHeight="1">
      <x:c r="A2" s="8" t="str">
        <x:v>核心原则：不要用岗位名称作为唯一键；用北森岗位ID维护稳定映射，岗位名称、别名、JD和负责人作为可版本化属性。</x:v>
      </x:c>
      <x:c r="B2" s="8" t="str">
        <x:v>核心原则：不要用岗位名称作为唯一键；用北森岗位ID维护稳定映射，岗位名称、别名、JD和负责人作为可版本化属性。</x:v>
      </x:c>
    </x:row>
    <x:row r="4" ht="28" customHeight="1">
      <x:c r="A4" s="14" t="str">
        <x:v>主题</x:v>
      </x:c>
      <x:c r="B4" s="14" t="str">
        <x:v>建议</x:v>
      </x:c>
    </x:row>
    <x:row r="5" ht="38" customHeight="1">
      <x:c r="A5" s="53" t="str">
        <x:v>稳定键</x:v>
      </x:c>
      <x:c r="B5" s="31" t="str">
        <x:v>以北森 beisen_position_id 作为外部唯一键，避免岗位改名后生成重复岗位。</x:v>
      </x:c>
    </x:row>
    <x:row r="6" ht="38" customHeight="1">
      <x:c r="A6" s="54" t="str">
        <x:v>标准岗位</x:v>
      </x:c>
      <x:c r="B6" s="32" t="str">
        <x:v>系统维护内部标准岗位；同一标准岗位可以关联多个北森名称或历史名称。</x:v>
      </x:c>
    </x:row>
    <x:row r="7" ht="38" customHeight="1">
      <x:c r="A7" s="54" t="str">
        <x:v>映射表</x:v>
      </x:c>
      <x:c r="B7" s="32" t="str">
        <x:v>保存“北森岗位ID → 内部标准岗位ID”、匹配方式、人工决策、有效来源和备注。</x:v>
      </x:c>
    </x:row>
    <x:row r="8" ht="38" customHeight="1">
      <x:c r="A8" s="54" t="str">
        <x:v>自动匹配第1步</x:v>
      </x:c>
      <x:c r="B8" s="32" t="str">
        <x:v>岗位名标准化：统一中英文平台名、大小写、全半角、空格和宣传性括号词。</x:v>
      </x:c>
    </x:row>
    <x:row r="9" ht="38" customHeight="1">
      <x:c r="A9" s="54" t="str">
        <x:v>自动匹配第2步</x:v>
      </x:c>
      <x:c r="B9" s="32" t="str">
        <x:v>按斜杠别名进行精确匹配；命中唯一岗位时给出高置信建议。</x:v>
      </x:c>
    </x:row>
    <x:row r="10" ht="38" customHeight="1">
      <x:c r="A10" s="54" t="str">
        <x:v>自动匹配第3步</x:v>
      </x:c>
      <x:c r="B10" s="32" t="str">
        <x:v>名称不一致时比较JD；JD高相似可建议别名映射，但不能直接覆盖人工结果。</x:v>
      </x:c>
    </x:row>
    <x:row r="11" ht="38" customHeight="1">
      <x:c r="A11" s="54" t="str">
        <x:v>必须人工确认</x:v>
      </x:c>
      <x:c r="B11" s="32" t="str">
        <x:v>一对多、未匹配、负责人不同、同名但JD显著变化、暂停/历史状态不一致。</x:v>
      </x:c>
    </x:row>
    <x:row r="12" ht="38" customHeight="1">
      <x:c r="A12" s="54" t="str">
        <x:v>负责人字段</x:v>
      </x:c>
      <x:c r="B12" s="32" t="str">
        <x:v>先确认北森HR负责人和文档招聘负责人是否同义；若不是，分别保存为招聘HR与业务负责人。</x:v>
      </x:c>
    </x:row>
    <x:row r="13" ht="38" customHeight="1">
      <x:c r="A13" s="54" t="str">
        <x:v>JD策略</x:v>
      </x:c>
      <x:c r="B13" s="32" t="str">
        <x:v>保留北森原始JD和汇总JD两个版本，人工指定当前评估JD；同步不得覆盖已确认版本。</x:v>
      </x:c>
    </x:row>
    <x:row r="14" ht="38" customHeight="1">
      <x:c r="A14" s="54" t="str">
        <x:v>同步保护</x:v>
      </x:c>
      <x:c r="B14" s="32" t="str">
        <x:v>一旦人工确认映射，后续同步优先按岗位ID更新，不再依赖模糊名称重新匹配。</x:v>
      </x:c>
    </x:row>
    <x:row r="15" ht="38" customHeight="1">
      <x:c r="A15" s="54" t="str">
        <x:v>推荐决策值</x:v>
      </x:c>
      <x:c r="B15" s="32" t="str">
        <x:v>采用汇总、采用北森、建立别名映射、不关联；所有决策保留操作人和时间。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7eff7529ccd4b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18" hidden="0" customWidth="1"/>
    <x:col min="4" max="4" width="22" hidden="0" customWidth="1"/>
    <x:col min="5" max="5" width="14" hidden="0" customWidth="1"/>
  </x:cols>
  <x:sheetData>
    <x:row r="1" ht="34" customHeight="1">
      <x:c r="A1" s="91" t="str">
        <x:v>岗位名称与JD采用规则</x:v>
      </x:c>
      <x:c r="B1" s="91" t="str">
        <x:v>岗位名称与JD采用规则</x:v>
      </x:c>
      <x:c r="C1" s="91" t="str">
        <x:v>岗位名称与JD采用规则</x:v>
      </x:c>
      <x:c r="D1" s="91" t="str">
        <x:v>岗位名称与JD采用规则</x:v>
      </x:c>
      <x:c r="E1" s="91" t="str">
        <x:v>岗位名称与JD采用规则</x:v>
      </x:c>
    </x:row>
    <x:row r="2" ht="34" customHeight="1">
      <x:c r="A2" s="95" t="str">
        <x:v>所有有效岗位的系统名称统一采用北森当前名称；除采购开发工程师采用合并JD外，其余有效岗位均采用北森当前JD。</x:v>
      </x:c>
      <x:c r="B2" s="95" t="str">
        <x:v>所有有效岗位的系统名称统一采用北森当前名称；除采购开发工程师采用合并JD外，其余有效岗位均采用北森当前JD。</x:v>
      </x:c>
      <x:c r="C2" s="95" t="str">
        <x:v>所有有效岗位的系统名称统一采用北森当前名称；除采购开发工程师采用合并JD外，其余有效岗位均采用北森当前JD。</x:v>
      </x:c>
      <x:c r="D2" s="95" t="str">
        <x:v>所有有效岗位的系统名称统一采用北森当前名称；除采购开发工程师采用合并JD外，其余有效岗位均采用北森当前JD。</x:v>
      </x:c>
      <x:c r="E2" s="95" t="str">
        <x:v>所有有效岗位的系统名称统一采用北森当前名称；除采购开发工程师采用合并JD外，其余有效岗位均采用北森当前JD。</x:v>
      </x:c>
    </x:row>
    <x:row r="4">
      <x:c r="A4" s="101" t="str">
        <x:v>北森岗位名称</x:v>
      </x:c>
      <x:c r="B4" s="101" t="str">
        <x:v>对应文档岗位（负责人关联）</x:v>
      </x:c>
      <x:c r="C4" s="101" t="str">
        <x:v>岗位名称标准</x:v>
      </x:c>
      <x:c r="D4" s="101" t="str">
        <x:v>JD标准</x:v>
      </x:c>
      <x:c r="E4" s="101" t="str">
        <x:v>状态</x:v>
      </x:c>
    </x:row>
    <x:row r="5" ht="44" customHeight="1">
      <x:c r="A5" s="31" t="str">
        <x:v>Amazon亚马逊运营</x:v>
      </x:c>
      <x:c r="B5" s="31" t="str">
        <x:v>亚马逊Amazon运营（中级）</x:v>
      </x:c>
      <x:c r="C5" s="106" t="str">
        <x:v>采用北森</x:v>
      </x:c>
      <x:c r="D5" s="106" t="str">
        <x:v>北森当前JD</x:v>
      </x:c>
      <x:c r="E5" s="106" t="str">
        <x:v>已执行</x:v>
      </x:c>
    </x:row>
    <x:row r="6" ht="44" customHeight="1">
      <x:c r="A6" s="32" t="str">
        <x:v>Temu运营</x:v>
      </x:c>
      <x:c r="B6" s="32" t="str">
        <x:v>Temu运营</x:v>
      </x:c>
      <x:c r="C6" s="107" t="str">
        <x:v>采用北森</x:v>
      </x:c>
      <x:c r="D6" s="107" t="str">
        <x:v>北森当前JD</x:v>
      </x:c>
      <x:c r="E6" s="107" t="str">
        <x:v>已执行</x:v>
      </x:c>
    </x:row>
    <x:row r="7" ht="44" customHeight="1">
      <x:c r="A7" s="32" t="str">
        <x:v>Tiktok店铺运营</x:v>
      </x:c>
      <x:c r="B7" s="32" t="str">
        <x:v>TK运营/Tiktok运营</x:v>
      </x:c>
      <x:c r="C7" s="107" t="str">
        <x:v>采用北森</x:v>
      </x:c>
      <x:c r="D7" s="107" t="str">
        <x:v>北森当前JD</x:v>
      </x:c>
      <x:c r="E7" s="107" t="str">
        <x:v>已执行</x:v>
      </x:c>
    </x:row>
    <x:row r="8" ht="44" customHeight="1">
      <x:c r="A8" s="32" t="str">
        <x:v>ai算法工程师</x:v>
      </x:c>
      <x:c r="B8" s="32" t="str">
        <x:v>AI工程师</x:v>
      </x:c>
      <x:c r="C8" s="107" t="str">
        <x:v>采用北森</x:v>
      </x:c>
      <x:c r="D8" s="107" t="str">
        <x:v>北森当前JD</x:v>
      </x:c>
      <x:c r="E8" s="107" t="str">
        <x:v>已执行</x:v>
      </x:c>
    </x:row>
    <x:row r="9" ht="44" customHeight="1">
      <x:c r="A9" s="32" t="str">
        <x:v>产品经理（跨境电商方向）</x:v>
      </x:c>
      <x:c r="B9" s="32" t="str">
        <x:v>产品经理（出海赛道/双休）/产品开发经理（出海赛道/双休）</x:v>
      </x:c>
      <x:c r="C9" s="107" t="str">
        <x:v>采用北森</x:v>
      </x:c>
      <x:c r="D9" s="107" t="str">
        <x:v>北森当前JD</x:v>
      </x:c>
      <x:c r="E9" s="107" t="str">
        <x:v>已执行</x:v>
      </x:c>
    </x:row>
    <x:row r="10" ht="44" customHeight="1">
      <x:c r="A10" s="32" t="str">
        <x:v>产品设计师</x:v>
      </x:c>
      <x:c r="B10" s="32" t="str">
        <x:v>产品设计师</x:v>
      </x:c>
      <x:c r="C10" s="107" t="str">
        <x:v>采用北森</x:v>
      </x:c>
      <x:c r="D10" s="107" t="str">
        <x:v>北森当前JD</x:v>
      </x:c>
      <x:c r="E10" s="107" t="str">
        <x:v>已执行</x:v>
      </x:c>
    </x:row>
    <x:row r="11" ht="44" customHeight="1">
      <x:c r="A11" s="32" t="str">
        <x:v>海外社媒运营</x:v>
      </x:c>
      <x:c r="B11" s="32" t="str">
        <x:v>海外社交媒体运营/新媒体运营（面向海外）/海外社媒运营/社交媒体推广专员</x:v>
      </x:c>
      <x:c r="C11" s="107" t="str">
        <x:v>采用北森</x:v>
      </x:c>
      <x:c r="D11" s="107" t="str">
        <x:v>北森当前JD</x:v>
      </x:c>
      <x:c r="E11" s="107" t="str">
        <x:v>已执行</x:v>
      </x:c>
    </x:row>
    <x:row r="12" ht="44" customHeight="1">
      <x:c r="A12" s="32" t="str">
        <x:v>跨境电商运营（应届生可投）</x:v>
      </x:c>
      <x:c r="B12" s="32" t="str">
        <x:v>跨境电商运营（应届生可投）</x:v>
      </x:c>
      <x:c r="C12" s="107" t="str">
        <x:v>采用北森</x:v>
      </x:c>
      <x:c r="D12" s="107" t="str">
        <x:v>北森当前JD</x:v>
      </x:c>
      <x:c r="E12" s="107" t="str">
        <x:v>已执行</x:v>
      </x:c>
    </x:row>
    <x:row r="13" ht="44" customHeight="1">
      <x:c r="A13" s="32" t="str">
        <x:v>采购开发工程师</x:v>
      </x:c>
      <x:c r="B13" s="32" t="str">
        <x:v>采购开发工程师</x:v>
      </x:c>
      <x:c r="C13" s="107" t="str">
        <x:v>采用北森</x:v>
      </x:c>
      <x:c r="D13" s="107" t="str">
        <x:v>合并JD</x:v>
      </x:c>
      <x:c r="E13" s="107" t="str">
        <x:v>已执行</x:v>
      </x:c>
    </x:row>
    <x:row r="15">
      <x:c r="A15" s="109" t="str">
        <x:v>采购开发工程师合并JD</x:v>
      </x:c>
      <x:c r="B15" s="109" t="str">
        <x:v>采购开发工程师合并JD</x:v>
      </x:c>
      <x:c r="C15" s="109" t="str">
        <x:v>采购开发工程师合并JD</x:v>
      </x:c>
      <x:c r="D15" s="109" t="str">
        <x:v>采购开发工程师合并JD</x:v>
      </x:c>
      <x:c r="E15" s="109" t="str">
        <x:v>采购开发工程师合并JD</x:v>
      </x:c>
    </x:row>
    <x:row r="16" ht="300" customHeight="1">
      <x:c r="A16" s="115" t="str">
        <x:v>岗位职责</x:v>
      </x:c>
      <x:c r="B16" s="88" t="str">
        <x:v>一、采购策略与供应商管理
1. 根据公司品类和产品线规划制定采购策略，主导供应商开发、评估、谈判及合同签订，持续优化采购总成本（TCO）。
2. 深挖供应商资源，淘汰不合格供应商并开发新供应商，建立供应商名录、绩效评价和分级管理机制，推动长期合作。
3. 监控原材料价格、供应风险和市场趋势，定期提出采购策略调整建议。
4. 不定期拜访供应商，了解生产、工艺、交付和质量情况，处理代工厂交付异常。
二、新品导入与采购执行
1. 负责新品导入和可采购性评估，对接新品打样、首批订单、项目进度和目标成本，配合产品设计团队完成新品开发目标。
2. 具备产品质量判断能力，协同质检人员处理样品、首批订单及供应商质量问题。
3. 对产品工艺、成本结构和采购数据保持敏感，推动采购成本、质量和交付持续改善。
三、需求计划与库存优化
1. 协调运营团队和供应商，参与或主导 SOP 会议，结合销售计划输出季节性产品需求预测。
2. 分析历史数据和市场波动，制定安全库存策略，平衡服务水平与库存成本。
3. 监控库存周转率和呆滞库存指标，推动相关部门执行改善措施。
四、跨部门协同
1. 联动产品经理、运营、质检和财务等部门，推动采购、供应、库存和成本的端到端优化。
2. 完成与供应链和采购工作相关的其他任务。</x:v>
      </x:c>
      <x:c r="C16" s="88" t="str">
        <x:v>一、采购策略与供应商管理
1. 根据公司品类和产品线规划制定采购策略，主导供应商开发、评估、谈判及合同签订，持续优化采购总成本（TCO）。
2. 深挖供应商资源，淘汰不合格供应商并开发新供应商，建立供应商名录、绩效评价和分级管理机制，推动长期合作。
3. 监控原材料价格、供应风险和市场趋势，定期提出采购策略调整建议。
4. 不定期拜访供应商，了解生产、工艺、交付和质量情况，处理代工厂交付异常。
二、新品导入与采购执行
1. 负责新品导入和可采购性评估，对接新品打样、首批订单、项目进度和目标成本，配合产品设计团队完成新品开发目标。
2. 具备产品质量判断能力，协同质检人员处理样品、首批订单及供应商质量问题。
3. 对产品工艺、成本结构和采购数据保持敏感，推动采购成本、质量和交付持续改善。
三、需求计划与库存优化
1. 协调运营团队和供应商，参与或主导 SOP 会议，结合销售计划输出季节性产品需求预测。
2. 分析历史数据和市场波动，制定安全库存策略，平衡服务水平与库存成本。
3. 监控库存周转率和呆滞库存指标，推动相关部门执行改善措施。
四、跨部门协同
1. 联动产品经理、运营、质检和财务等部门，推动采购、供应、库存和成本的端到端优化。
2. 完成与供应链和采购工作相关的其他任务。</x:v>
      </x:c>
      <x:c r="D16" s="88" t="str">
        <x:v>一、采购策略与供应商管理
1. 根据公司品类和产品线规划制定采购策略，主导供应商开发、评估、谈判及合同签订，持续优化采购总成本（TCO）。
2. 深挖供应商资源，淘汰不合格供应商并开发新供应商，建立供应商名录、绩效评价和分级管理机制，推动长期合作。
3. 监控原材料价格、供应风险和市场趋势，定期提出采购策略调整建议。
4. 不定期拜访供应商，了解生产、工艺、交付和质量情况，处理代工厂交付异常。
二、新品导入与采购执行
1. 负责新品导入和可采购性评估，对接新品打样、首批订单、项目进度和目标成本，配合产品设计团队完成新品开发目标。
2. 具备产品质量判断能力，协同质检人员处理样品、首批订单及供应商质量问题。
3. 对产品工艺、成本结构和采购数据保持敏感，推动采购成本、质量和交付持续改善。
三、需求计划与库存优化
1. 协调运营团队和供应商，参与或主导 SOP 会议，结合销售计划输出季节性产品需求预测。
2. 分析历史数据和市场波动，制定安全库存策略，平衡服务水平与库存成本。
3. 监控库存周转率和呆滞库存指标，推动相关部门执行改善措施。
四、跨部门协同
1. 联动产品经理、运营、质检和财务等部门，推动采购、供应、库存和成本的端到端优化。
2. 完成与供应链和采购工作相关的其他任务。</x:v>
      </x:c>
      <x:c r="E16" s="88" t="str">
        <x:v>一、采购策略与供应商管理
1. 根据公司品类和产品线规划制定采购策略，主导供应商开发、评估、谈判及合同签订，持续优化采购总成本（TCO）。
2. 深挖供应商资源，淘汰不合格供应商并开发新供应商，建立供应商名录、绩效评价和分级管理机制，推动长期合作。
3. 监控原材料价格、供应风险和市场趋势，定期提出采购策略调整建议。
4. 不定期拜访供应商，了解生产、工艺、交付和质量情况，处理代工厂交付异常。
二、新品导入与采购执行
1. 负责新品导入和可采购性评估，对接新品打样、首批订单、项目进度和目标成本，配合产品设计团队完成新品开发目标。
2. 具备产品质量判断能力，协同质检人员处理样品、首批订单及供应商质量问题。
3. 对产品工艺、成本结构和采购数据保持敏感，推动采购成本、质量和交付持续改善。
三、需求计划与库存优化
1. 协调运营团队和供应商，参与或主导 SOP 会议，结合销售计划输出季节性产品需求预测。
2. 分析历史数据和市场波动，制定安全库存策略，平衡服务水平与库存成本。
3. 监控库存周转率和呆滞库存指标，推动相关部门执行改善措施。
四、跨部门协同
1. 联动产品经理、运营、质检和财务等部门，推动采购、供应、库存和成本的端到端优化。
2. 完成与供应链和采购工作相关的其他任务。</x:v>
      </x:c>
    </x:row>
    <x:row r="17" ht="170" customHeight="1">
      <x:c r="A17" s="115" t="str">
        <x:v>任职要求</x:v>
      </x:c>
      <x:c r="B17" s="88" t="str">
        <x:v>1. 本科及以上学历，供应链管理、工商管理、数据分析等相关专业或相关经历优先。
2. 具有 3 年以上供应链或采购相关工作经验；兼具策略采购、执行采购、需求计划或电商企业采购经验者优先。
3. 具备供应商开发、评估、谈判和关系维护能力，能够独立制定或执行采购策略。
4. 具备良好的数据分析能力，对产品工艺、质量、成本结构、库存和供应风险敏感。
5. 具备良好的组织、沟通、协调和谈判能力，责任心强、工作细致，能够处理供应商交付异常并适应跨部门协作。
6. 熟练使用 Office 办公软件，具备英文沟通能力者优先。</x:v>
      </x:c>
      <x:c r="C17" s="88" t="str">
        <x:v>1. 本科及以上学历，供应链管理、工商管理、数据分析等相关专业或相关经历优先。
2. 具有 3 年以上供应链或采购相关工作经验；兼具策略采购、执行采购、需求计划或电商企业采购经验者优先。
3. 具备供应商开发、评估、谈判和关系维护能力，能够独立制定或执行采购策略。
4. 具备良好的数据分析能力，对产品工艺、质量、成本结构、库存和供应风险敏感。
5. 具备良好的组织、沟通、协调和谈判能力，责任心强、工作细致，能够处理供应商交付异常并适应跨部门协作。
6. 熟练使用 Office 办公软件，具备英文沟通能力者优先。</x:v>
      </x:c>
      <x:c r="D17" s="88" t="str">
        <x:v>1. 本科及以上学历，供应链管理、工商管理、数据分析等相关专业或相关经历优先。
2. 具有 3 年以上供应链或采购相关工作经验；兼具策略采购、执行采购、需求计划或电商企业采购经验者优先。
3. 具备供应商开发、评估、谈判和关系维护能力，能够独立制定或执行采购策略。
4. 具备良好的数据分析能力，对产品工艺、质量、成本结构、库存和供应风险敏感。
5. 具备良好的组织、沟通、协调和谈判能力，责任心强、工作细致，能够处理供应商交付异常并适应跨部门协作。
6. 熟练使用 Office 办公软件，具备英文沟通能力者优先。</x:v>
      </x:c>
      <x:c r="E17" s="88" t="str">
        <x:v>1. 本科及以上学历，供应链管理、工商管理、数据分析等相关专业或相关经历优先。
2. 具有 3 年以上供应链或采购相关工作经验；兼具策略采购、执行采购、需求计划或电商企业采购经验者优先。
3. 具备供应商开发、评估、谈判和关系维护能力，能够独立制定或执行采购策略。
4. 具备良好的数据分析能力，对产品工艺、质量、成本结构、库存和供应风险敏感。
5. 具备良好的组织、沟通、协调和谈判能力，责任心强、工作细致，能够处理供应商交付异常并适应跨部门协作。
6. 熟练使用 Office 办公软件，具备英文沟通能力者优先。</x:v>
      </x:c>
    </x:row>
    <x:row r="19" ht="34" customHeight="1">
      <x:c r="A19" s="95" t="str">
        <x:v>本次合并未发现其他互斥要求。若后续需要确定职级、薪酬或是否必须具备英文能力，再单独确认。</x:v>
      </x:c>
      <x:c r="B19" s="95" t="str">
        <x:v>本次合并未发现其他互斥要求。若后续需要确定职级、薪酬或是否必须具备英文能力，再单独确认。</x:v>
      </x:c>
      <x:c r="C19" s="95" t="str">
        <x:v>本次合并未发现其他互斥要求。若后续需要确定职级、薪酬或是否必须具备英文能力，再单独确认。</x:v>
      </x:c>
      <x:c r="D19" s="95" t="str">
        <x:v>本次合并未发现其他互斥要求。若后续需要确定职级、薪酬或是否必须具备英文能力，再单独确认。</x:v>
      </x:c>
      <x:c r="E19" s="95" t="str">
        <x:v>本次合并未发现其他互斥要求。若后续需要确定职级、薪酬或是否必须具备英文能力，再单独确认。</x:v>
      </x:c>
    </x:row>
  </x:sheetData>
  <x:mergeCells>
    <x:mergeCell ref="A1:E1"/>
    <x:mergeCell ref="A2:E2"/>
    <x:mergeCell ref="A15:E15"/>
    <x:mergeCell ref="B16:E16"/>
    <x:mergeCell ref="B17:E17"/>
    <x:mergeCell ref="A19:E19"/>
  </x:mergeCells>
  <x:pageMargins left="0.7" right="0.7" top="0.75" bottom="0.75" header="0.3" footer="0.3"/>
</x:worksheet>
</file>